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updateLinks="always" codeName="EstaPastaDeTrabalho1" defaultThemeVersion="166925"/>
  <mc:AlternateContent xmlns:mc="http://schemas.openxmlformats.org/markup-compatibility/2006">
    <mc:Choice Requires="x15">
      <x15ac:absPath xmlns:x15ac="http://schemas.microsoft.com/office/spreadsheetml/2010/11/ac" url="https://transgabardo-my.sharepoint.com/personal/evandro_motta_transgabardo_com_br/Documents/BOLETOS e FATURAS/2022/12 DEZ/30/"/>
    </mc:Choice>
  </mc:AlternateContent>
  <xr:revisionPtr revIDLastSave="1222" documentId="14_{DE15D1B5-3F3A-4FBC-B35E-1B1E82B61F3B}" xr6:coauthVersionLast="47" xr6:coauthVersionMax="47" xr10:uidLastSave="{0B98F70D-5653-4C0F-9700-0AAFC1C83798}"/>
  <bookViews>
    <workbookView xWindow="-120" yWindow="-120" windowWidth="20730" windowHeight="11160" tabRatio="500" firstSheet="1" activeTab="2" xr2:uid="{00000000-000D-0000-FFFF-FFFF00000000}"/>
  </bookViews>
  <sheets>
    <sheet name="Lista Boleto" sheetId="6" r:id="rId1"/>
    <sheet name="PROCV" sheetId="5" r:id="rId2"/>
    <sheet name="Envio de CTes" sheetId="1" r:id="rId3"/>
  </sheets>
  <externalReferences>
    <externalReference r:id="rId4"/>
  </externalReferences>
  <definedNames>
    <definedName name="_xlnm._FilterDatabase" localSheetId="1" hidden="1">PROCV!$A$1:$D$264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P4" i="1" l="1"/>
  <c r="P5" i="1"/>
  <c r="P6" i="1"/>
  <c r="P7" i="1"/>
  <c r="P8" i="1"/>
  <c r="P9" i="1"/>
  <c r="P10" i="1"/>
  <c r="P11" i="1"/>
  <c r="P12" i="1"/>
  <c r="P13" i="1"/>
  <c r="P14" i="1"/>
  <c r="P3" i="1"/>
  <c r="A167" i="5"/>
  <c r="K3" i="1"/>
  <c r="K4" i="1"/>
  <c r="K5" i="1"/>
  <c r="K6" i="1"/>
  <c r="K7" i="1"/>
  <c r="K8" i="1"/>
  <c r="D7" i="6" s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C141" i="6"/>
  <c r="D141" i="6"/>
  <c r="M133" i="1"/>
  <c r="N133" i="1" s="1"/>
  <c r="C140" i="6" s="1"/>
  <c r="M123" i="1"/>
  <c r="N123" i="1" s="1"/>
  <c r="C130" i="6" s="1"/>
  <c r="M124" i="1"/>
  <c r="N124" i="1" s="1"/>
  <c r="C131" i="6" s="1"/>
  <c r="M125" i="1"/>
  <c r="N125" i="1" s="1"/>
  <c r="C132" i="6" s="1"/>
  <c r="M126" i="1"/>
  <c r="N126" i="1" s="1"/>
  <c r="C133" i="6" s="1"/>
  <c r="M127" i="1"/>
  <c r="N127" i="1" s="1"/>
  <c r="C134" i="6" s="1"/>
  <c r="M128" i="1"/>
  <c r="N128" i="1" s="1"/>
  <c r="C135" i="6" s="1"/>
  <c r="M129" i="1"/>
  <c r="N129" i="1" s="1"/>
  <c r="C136" i="6" s="1"/>
  <c r="M130" i="1"/>
  <c r="N130" i="1" s="1"/>
  <c r="C137" i="6" s="1"/>
  <c r="M131" i="1"/>
  <c r="N131" i="1" s="1"/>
  <c r="C138" i="6" s="1"/>
  <c r="M132" i="1"/>
  <c r="N132" i="1" s="1"/>
  <c r="C139" i="6" s="1"/>
  <c r="K123" i="1"/>
  <c r="D130" i="6" s="1"/>
  <c r="K124" i="1"/>
  <c r="D131" i="6" s="1"/>
  <c r="K125" i="1"/>
  <c r="D132" i="6" s="1"/>
  <c r="K126" i="1"/>
  <c r="D133" i="6" s="1"/>
  <c r="K127" i="1"/>
  <c r="D134" i="6" s="1"/>
  <c r="K128" i="1"/>
  <c r="D135" i="6" s="1"/>
  <c r="K129" i="1"/>
  <c r="D136" i="6" s="1"/>
  <c r="K130" i="1"/>
  <c r="D137" i="6" s="1"/>
  <c r="K131" i="1"/>
  <c r="D138" i="6" s="1"/>
  <c r="K132" i="1"/>
  <c r="D139" i="6" s="1"/>
  <c r="K133" i="1"/>
  <c r="D140" i="6" s="1"/>
  <c r="B151" i="5"/>
  <c r="C151" i="5" s="1"/>
  <c r="B152" i="5"/>
  <c r="C152" i="5" s="1"/>
  <c r="B153" i="5"/>
  <c r="C153" i="5" s="1"/>
  <c r="B154" i="5"/>
  <c r="C154" i="5" s="1"/>
  <c r="B155" i="5"/>
  <c r="C155" i="5" s="1"/>
  <c r="B156" i="5"/>
  <c r="C156" i="5" s="1"/>
  <c r="B157" i="5"/>
  <c r="C157" i="5" s="1"/>
  <c r="B158" i="5"/>
  <c r="C158" i="5" s="1"/>
  <c r="B159" i="5"/>
  <c r="C159" i="5" s="1"/>
  <c r="B160" i="5"/>
  <c r="C160" i="5" s="1"/>
  <c r="B161" i="5"/>
  <c r="C161" i="5" s="1"/>
  <c r="B162" i="5"/>
  <c r="C162" i="5" s="1"/>
  <c r="B163" i="5"/>
  <c r="C163" i="5" s="1"/>
  <c r="B164" i="5"/>
  <c r="C164" i="5" s="1"/>
  <c r="B165" i="5"/>
  <c r="C165" i="5" s="1"/>
  <c r="B133" i="5"/>
  <c r="C133" i="5" s="1"/>
  <c r="A128" i="1" s="1"/>
  <c r="B134" i="5"/>
  <c r="C134" i="5" s="1"/>
  <c r="A129" i="1" s="1"/>
  <c r="B135" i="5"/>
  <c r="C135" i="5" s="1"/>
  <c r="A130" i="1" s="1"/>
  <c r="B136" i="5"/>
  <c r="B137" i="5"/>
  <c r="C137" i="5" s="1"/>
  <c r="A132" i="1" s="1"/>
  <c r="B138" i="5"/>
  <c r="C138" i="5" s="1"/>
  <c r="A133" i="1" s="1"/>
  <c r="B139" i="5"/>
  <c r="C139" i="5" s="1"/>
  <c r="B140" i="5"/>
  <c r="C140" i="5" s="1"/>
  <c r="B141" i="5"/>
  <c r="C141" i="5" s="1"/>
  <c r="B142" i="5"/>
  <c r="C142" i="5" s="1"/>
  <c r="B143" i="5"/>
  <c r="B144" i="5"/>
  <c r="C144" i="5" s="1"/>
  <c r="B145" i="5"/>
  <c r="C145" i="5" s="1"/>
  <c r="B146" i="5"/>
  <c r="C146" i="5" s="1"/>
  <c r="B147" i="5"/>
  <c r="C147" i="5" s="1"/>
  <c r="B148" i="5"/>
  <c r="C148" i="5" s="1"/>
  <c r="B149" i="5"/>
  <c r="C149" i="5" s="1"/>
  <c r="B150" i="5"/>
  <c r="C150" i="5" s="1"/>
  <c r="B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A187" i="5"/>
  <c r="A183" i="5" l="1"/>
  <c r="A171" i="5"/>
  <c r="A5" i="5"/>
  <c r="A143" i="5"/>
  <c r="A191" i="5"/>
  <c r="A151" i="5"/>
  <c r="C146" i="1" s="1"/>
  <c r="A159" i="5"/>
  <c r="C154" i="1" s="1"/>
  <c r="A175" i="5"/>
  <c r="A155" i="5"/>
  <c r="C150" i="1" s="1"/>
  <c r="C143" i="5"/>
  <c r="A138" i="1" s="1"/>
  <c r="A135" i="5"/>
  <c r="A179" i="5"/>
  <c r="A163" i="5"/>
  <c r="C158" i="1" s="1"/>
  <c r="A136" i="5"/>
  <c r="C131" i="1" s="1"/>
  <c r="A139" i="5"/>
  <c r="C134" i="1" s="1"/>
  <c r="A147" i="5"/>
  <c r="C142" i="1" s="1"/>
  <c r="C136" i="5"/>
  <c r="A131" i="1" s="1"/>
  <c r="A134" i="5"/>
  <c r="A190" i="5"/>
  <c r="A182" i="5"/>
  <c r="A174" i="5"/>
  <c r="A166" i="5"/>
  <c r="A158" i="5"/>
  <c r="C153" i="1" s="1"/>
  <c r="A150" i="5"/>
  <c r="C145" i="1" s="1"/>
  <c r="A138" i="5"/>
  <c r="C133" i="1" s="1"/>
  <c r="A189" i="5"/>
  <c r="A185" i="5"/>
  <c r="A181" i="5"/>
  <c r="A177" i="5"/>
  <c r="A173" i="5"/>
  <c r="A169" i="5"/>
  <c r="A165" i="5"/>
  <c r="C160" i="1" s="1"/>
  <c r="A161" i="5"/>
  <c r="C156" i="1" s="1"/>
  <c r="A157" i="5"/>
  <c r="C152" i="1" s="1"/>
  <c r="A153" i="5"/>
  <c r="C148" i="1" s="1"/>
  <c r="A149" i="5"/>
  <c r="C144" i="1" s="1"/>
  <c r="A145" i="5"/>
  <c r="C140" i="1" s="1"/>
  <c r="A141" i="5"/>
  <c r="C136" i="1" s="1"/>
  <c r="A137" i="5"/>
  <c r="C132" i="1" s="1"/>
  <c r="A133" i="5"/>
  <c r="C128" i="1" s="1"/>
  <c r="A186" i="5"/>
  <c r="A178" i="5"/>
  <c r="A170" i="5"/>
  <c r="A162" i="5"/>
  <c r="C157" i="1" s="1"/>
  <c r="A154" i="5"/>
  <c r="C149" i="1" s="1"/>
  <c r="A146" i="5"/>
  <c r="C141" i="1" s="1"/>
  <c r="A142" i="5"/>
  <c r="C137" i="1" s="1"/>
  <c r="A188" i="5"/>
  <c r="A184" i="5"/>
  <c r="A180" i="5"/>
  <c r="A176" i="5"/>
  <c r="A172" i="5"/>
  <c r="A168" i="5"/>
  <c r="A164" i="5"/>
  <c r="C159" i="1" s="1"/>
  <c r="A160" i="5"/>
  <c r="C155" i="1" s="1"/>
  <c r="A156" i="5"/>
  <c r="C151" i="1" s="1"/>
  <c r="A152" i="5"/>
  <c r="C147" i="1" s="1"/>
  <c r="A148" i="5"/>
  <c r="C143" i="1" s="1"/>
  <c r="A144" i="5"/>
  <c r="C139" i="1" s="1"/>
  <c r="A140" i="5"/>
  <c r="C135" i="1" s="1"/>
  <c r="M101" i="1"/>
  <c r="N101" i="1" s="1"/>
  <c r="C108" i="6" s="1"/>
  <c r="M102" i="1"/>
  <c r="N102" i="1" s="1"/>
  <c r="C109" i="6" s="1"/>
  <c r="M103" i="1"/>
  <c r="N103" i="1" s="1"/>
  <c r="C110" i="6" s="1"/>
  <c r="M104" i="1"/>
  <c r="N104" i="1" s="1"/>
  <c r="C111" i="6" s="1"/>
  <c r="M105" i="1"/>
  <c r="N105" i="1" s="1"/>
  <c r="C112" i="6" s="1"/>
  <c r="M106" i="1"/>
  <c r="N106" i="1" s="1"/>
  <c r="C113" i="6" s="1"/>
  <c r="M107" i="1"/>
  <c r="N107" i="1" s="1"/>
  <c r="C114" i="6" s="1"/>
  <c r="M108" i="1"/>
  <c r="N108" i="1" s="1"/>
  <c r="C115" i="6" s="1"/>
  <c r="M109" i="1"/>
  <c r="N109" i="1" s="1"/>
  <c r="C116" i="6" s="1"/>
  <c r="M110" i="1"/>
  <c r="N110" i="1" s="1"/>
  <c r="C117" i="6" s="1"/>
  <c r="M111" i="1"/>
  <c r="N111" i="1" s="1"/>
  <c r="C118" i="6" s="1"/>
  <c r="M112" i="1"/>
  <c r="N112" i="1" s="1"/>
  <c r="C119" i="6" s="1"/>
  <c r="M113" i="1"/>
  <c r="N113" i="1" s="1"/>
  <c r="C120" i="6" s="1"/>
  <c r="M114" i="1"/>
  <c r="N114" i="1" s="1"/>
  <c r="C121" i="6" s="1"/>
  <c r="M115" i="1"/>
  <c r="N115" i="1" s="1"/>
  <c r="C122" i="6" s="1"/>
  <c r="M116" i="1"/>
  <c r="N116" i="1" s="1"/>
  <c r="C123" i="6" s="1"/>
  <c r="M117" i="1"/>
  <c r="N117" i="1" s="1"/>
  <c r="C124" i="6" s="1"/>
  <c r="M118" i="1"/>
  <c r="N118" i="1" s="1"/>
  <c r="C125" i="6" s="1"/>
  <c r="M119" i="1"/>
  <c r="N119" i="1" s="1"/>
  <c r="C126" i="6" s="1"/>
  <c r="M120" i="1"/>
  <c r="N120" i="1" s="1"/>
  <c r="C127" i="6" s="1"/>
  <c r="M121" i="1"/>
  <c r="N121" i="1" s="1"/>
  <c r="C128" i="6" s="1"/>
  <c r="M122" i="1"/>
  <c r="N122" i="1" s="1"/>
  <c r="C129" i="6" s="1"/>
  <c r="K101" i="1"/>
  <c r="D108" i="6" s="1"/>
  <c r="K102" i="1"/>
  <c r="D109" i="6" s="1"/>
  <c r="K103" i="1"/>
  <c r="D110" i="6" s="1"/>
  <c r="K104" i="1"/>
  <c r="D111" i="6" s="1"/>
  <c r="K105" i="1"/>
  <c r="D112" i="6" s="1"/>
  <c r="K106" i="1"/>
  <c r="D113" i="6" s="1"/>
  <c r="K107" i="1"/>
  <c r="D114" i="6" s="1"/>
  <c r="K108" i="1"/>
  <c r="D115" i="6" s="1"/>
  <c r="K109" i="1"/>
  <c r="D116" i="6" s="1"/>
  <c r="K110" i="1"/>
  <c r="D117" i="6" s="1"/>
  <c r="K111" i="1"/>
  <c r="D118" i="6" s="1"/>
  <c r="K112" i="1"/>
  <c r="D119" i="6" s="1"/>
  <c r="K113" i="1"/>
  <c r="D120" i="6" s="1"/>
  <c r="K114" i="1"/>
  <c r="D121" i="6" s="1"/>
  <c r="K115" i="1"/>
  <c r="D122" i="6" s="1"/>
  <c r="K116" i="1"/>
  <c r="D123" i="6" s="1"/>
  <c r="K117" i="1"/>
  <c r="D124" i="6" s="1"/>
  <c r="K118" i="1"/>
  <c r="D125" i="6" s="1"/>
  <c r="K119" i="1"/>
  <c r="D126" i="6" s="1"/>
  <c r="K120" i="1"/>
  <c r="D127" i="6" s="1"/>
  <c r="K121" i="1"/>
  <c r="D128" i="6" s="1"/>
  <c r="K122" i="1"/>
  <c r="D129" i="6" s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C129" i="1"/>
  <c r="C130" i="1"/>
  <c r="C138" i="1"/>
  <c r="A134" i="1"/>
  <c r="A135" i="1"/>
  <c r="A136" i="1"/>
  <c r="A137" i="1"/>
  <c r="A13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N68" i="1" s="1"/>
  <c r="C76" i="6" s="1"/>
  <c r="M69" i="1"/>
  <c r="N69" i="1" s="1"/>
  <c r="C77" i="6" s="1"/>
  <c r="M70" i="1"/>
  <c r="N70" i="1" s="1"/>
  <c r="C78" i="6" s="1"/>
  <c r="M71" i="1"/>
  <c r="N71" i="1" s="1"/>
  <c r="C79" i="6" s="1"/>
  <c r="M72" i="1"/>
  <c r="N72" i="1" s="1"/>
  <c r="C80" i="6" s="1"/>
  <c r="M73" i="1"/>
  <c r="N73" i="1" s="1"/>
  <c r="C81" i="6" s="1"/>
  <c r="M74" i="1"/>
  <c r="N74" i="1" s="1"/>
  <c r="C82" i="6" s="1"/>
  <c r="M75" i="1"/>
  <c r="N75" i="1" s="1"/>
  <c r="C83" i="6" s="1"/>
  <c r="M76" i="1"/>
  <c r="N76" i="1" s="1"/>
  <c r="C84" i="6" s="1"/>
  <c r="M78" i="1"/>
  <c r="N78" i="1" s="1"/>
  <c r="C85" i="6" s="1"/>
  <c r="M79" i="1"/>
  <c r="N79" i="1" s="1"/>
  <c r="C86" i="6" s="1"/>
  <c r="M80" i="1"/>
  <c r="N80" i="1" s="1"/>
  <c r="C87" i="6" s="1"/>
  <c r="M81" i="1"/>
  <c r="N81" i="1" s="1"/>
  <c r="C88" i="6" s="1"/>
  <c r="M82" i="1"/>
  <c r="N82" i="1" s="1"/>
  <c r="C89" i="6" s="1"/>
  <c r="M83" i="1"/>
  <c r="N83" i="1" s="1"/>
  <c r="C90" i="6" s="1"/>
  <c r="M84" i="1"/>
  <c r="N84" i="1" s="1"/>
  <c r="C91" i="6" s="1"/>
  <c r="M85" i="1"/>
  <c r="N85" i="1" s="1"/>
  <c r="C92" i="6" s="1"/>
  <c r="M86" i="1"/>
  <c r="N86" i="1" s="1"/>
  <c r="C93" i="6" s="1"/>
  <c r="M87" i="1"/>
  <c r="N87" i="1" s="1"/>
  <c r="C94" i="6" s="1"/>
  <c r="M88" i="1"/>
  <c r="N88" i="1" s="1"/>
  <c r="C95" i="6" s="1"/>
  <c r="M89" i="1"/>
  <c r="N89" i="1" s="1"/>
  <c r="C96" i="6" s="1"/>
  <c r="M90" i="1"/>
  <c r="N90" i="1" s="1"/>
  <c r="C97" i="6" s="1"/>
  <c r="M91" i="1"/>
  <c r="N91" i="1" s="1"/>
  <c r="C98" i="6" s="1"/>
  <c r="M92" i="1"/>
  <c r="N92" i="1" s="1"/>
  <c r="C99" i="6" s="1"/>
  <c r="M93" i="1"/>
  <c r="N93" i="1" s="1"/>
  <c r="C100" i="6" s="1"/>
  <c r="M94" i="1"/>
  <c r="N94" i="1" s="1"/>
  <c r="C101" i="6" s="1"/>
  <c r="M95" i="1"/>
  <c r="N95" i="1" s="1"/>
  <c r="C102" i="6" s="1"/>
  <c r="M96" i="1"/>
  <c r="N96" i="1" s="1"/>
  <c r="C103" i="6" s="1"/>
  <c r="M97" i="1"/>
  <c r="N97" i="1" s="1"/>
  <c r="C104" i="6" s="1"/>
  <c r="M98" i="1"/>
  <c r="N98" i="1" s="1"/>
  <c r="C105" i="6" s="1"/>
  <c r="M99" i="1"/>
  <c r="N99" i="1" s="1"/>
  <c r="C106" i="6" s="1"/>
  <c r="M100" i="1"/>
  <c r="N100" i="1" s="1"/>
  <c r="C107" i="6" s="1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K48" i="1"/>
  <c r="D56" i="6" s="1"/>
  <c r="K49" i="1"/>
  <c r="D57" i="6" s="1"/>
  <c r="K50" i="1"/>
  <c r="D58" i="6" s="1"/>
  <c r="K51" i="1"/>
  <c r="D59" i="6" s="1"/>
  <c r="K52" i="1"/>
  <c r="D60" i="6" s="1"/>
  <c r="K53" i="1"/>
  <c r="D61" i="6" s="1"/>
  <c r="K54" i="1"/>
  <c r="D62" i="6" s="1"/>
  <c r="K55" i="1"/>
  <c r="D63" i="6" s="1"/>
  <c r="K56" i="1"/>
  <c r="D64" i="6" s="1"/>
  <c r="K57" i="1"/>
  <c r="D65" i="6" s="1"/>
  <c r="K58" i="1"/>
  <c r="D66" i="6" s="1"/>
  <c r="K59" i="1"/>
  <c r="D67" i="6" s="1"/>
  <c r="K60" i="1"/>
  <c r="D68" i="6" s="1"/>
  <c r="K61" i="1"/>
  <c r="D69" i="6" s="1"/>
  <c r="K62" i="1"/>
  <c r="D70" i="6" s="1"/>
  <c r="K63" i="1"/>
  <c r="D71" i="6" s="1"/>
  <c r="K64" i="1"/>
  <c r="D72" i="6" s="1"/>
  <c r="K65" i="1"/>
  <c r="D73" i="6" s="1"/>
  <c r="K66" i="1"/>
  <c r="D74" i="6" s="1"/>
  <c r="K67" i="1"/>
  <c r="D75" i="6" s="1"/>
  <c r="K68" i="1"/>
  <c r="D76" i="6" s="1"/>
  <c r="K69" i="1"/>
  <c r="D77" i="6" s="1"/>
  <c r="K70" i="1"/>
  <c r="D78" i="6" s="1"/>
  <c r="K71" i="1"/>
  <c r="D79" i="6" s="1"/>
  <c r="K72" i="1"/>
  <c r="D80" i="6" s="1"/>
  <c r="K73" i="1"/>
  <c r="D81" i="6" s="1"/>
  <c r="K74" i="1"/>
  <c r="D82" i="6" s="1"/>
  <c r="K75" i="1"/>
  <c r="D83" i="6" s="1"/>
  <c r="K76" i="1"/>
  <c r="D84" i="6" s="1"/>
  <c r="K78" i="1"/>
  <c r="D85" i="6" s="1"/>
  <c r="K79" i="1"/>
  <c r="D86" i="6" s="1"/>
  <c r="K80" i="1"/>
  <c r="D87" i="6" s="1"/>
  <c r="K81" i="1"/>
  <c r="D88" i="6" s="1"/>
  <c r="K82" i="1"/>
  <c r="D89" i="6" s="1"/>
  <c r="K83" i="1"/>
  <c r="D90" i="6" s="1"/>
  <c r="K84" i="1"/>
  <c r="D91" i="6" s="1"/>
  <c r="K85" i="1"/>
  <c r="D92" i="6" s="1"/>
  <c r="K86" i="1"/>
  <c r="D93" i="6" s="1"/>
  <c r="K87" i="1"/>
  <c r="D94" i="6" s="1"/>
  <c r="K88" i="1"/>
  <c r="D95" i="6" s="1"/>
  <c r="K89" i="1"/>
  <c r="D96" i="6" s="1"/>
  <c r="K90" i="1"/>
  <c r="D97" i="6" s="1"/>
  <c r="K91" i="1"/>
  <c r="D98" i="6" s="1"/>
  <c r="K92" i="1"/>
  <c r="D99" i="6" s="1"/>
  <c r="K93" i="1"/>
  <c r="D100" i="6" s="1"/>
  <c r="K94" i="1"/>
  <c r="D101" i="6" s="1"/>
  <c r="K95" i="1"/>
  <c r="D102" i="6" s="1"/>
  <c r="K96" i="1"/>
  <c r="D103" i="6" s="1"/>
  <c r="K97" i="1"/>
  <c r="D104" i="6" s="1"/>
  <c r="K98" i="1"/>
  <c r="D105" i="6" s="1"/>
  <c r="K99" i="1"/>
  <c r="D106" i="6" s="1"/>
  <c r="K100" i="1"/>
  <c r="D107" i="6" s="1"/>
  <c r="N65" i="1" l="1"/>
  <c r="C73" i="6" s="1"/>
  <c r="N66" i="1"/>
  <c r="C74" i="6" s="1"/>
  <c r="N64" i="1"/>
  <c r="C72" i="6" s="1"/>
  <c r="N67" i="1"/>
  <c r="C75" i="6" s="1"/>
  <c r="N62" i="1"/>
  <c r="C70" i="6" s="1"/>
  <c r="N58" i="1"/>
  <c r="C66" i="6" s="1"/>
  <c r="N61" i="1"/>
  <c r="C69" i="6" s="1"/>
  <c r="N60" i="1"/>
  <c r="C68" i="6" s="1"/>
  <c r="N63" i="1"/>
  <c r="C71" i="6" s="1"/>
  <c r="N59" i="1"/>
  <c r="C67" i="6" s="1"/>
  <c r="N57" i="1"/>
  <c r="C65" i="6" s="1"/>
  <c r="N53" i="1"/>
  <c r="C61" i="6" s="1"/>
  <c r="N49" i="1"/>
  <c r="C57" i="6" s="1"/>
  <c r="N46" i="1"/>
  <c r="C53" i="6" s="1"/>
  <c r="N42" i="1"/>
  <c r="C49" i="6" s="1"/>
  <c r="N56" i="1"/>
  <c r="C64" i="6" s="1"/>
  <c r="N52" i="1"/>
  <c r="C60" i="6" s="1"/>
  <c r="N48" i="1"/>
  <c r="C56" i="6" s="1"/>
  <c r="N45" i="1"/>
  <c r="C52" i="6" s="1"/>
  <c r="N41" i="1"/>
  <c r="C48" i="6" s="1"/>
  <c r="N55" i="1"/>
  <c r="C63" i="6" s="1"/>
  <c r="N51" i="1"/>
  <c r="C59" i="6" s="1"/>
  <c r="N47" i="1"/>
  <c r="C55" i="6" s="1"/>
  <c r="N44" i="1"/>
  <c r="C51" i="6" s="1"/>
  <c r="N40" i="1"/>
  <c r="C47" i="6" s="1"/>
  <c r="N54" i="1"/>
  <c r="C62" i="6" s="1"/>
  <c r="N50" i="1"/>
  <c r="C58" i="6" s="1"/>
  <c r="C54" i="6"/>
  <c r="N43" i="1"/>
  <c r="C50" i="6" s="1"/>
  <c r="N39" i="1"/>
  <c r="C46" i="6" s="1"/>
  <c r="N38" i="1"/>
  <c r="C45" i="6" s="1"/>
  <c r="N34" i="1"/>
  <c r="C41" i="6" s="1"/>
  <c r="N30" i="1"/>
  <c r="C37" i="6" s="1"/>
  <c r="N31" i="1"/>
  <c r="C38" i="6" s="1"/>
  <c r="N37" i="1"/>
  <c r="C44" i="6" s="1"/>
  <c r="N33" i="1"/>
  <c r="C40" i="6" s="1"/>
  <c r="N35" i="1"/>
  <c r="C42" i="6" s="1"/>
  <c r="N36" i="1"/>
  <c r="C43" i="6" s="1"/>
  <c r="N32" i="1"/>
  <c r="C39" i="6" s="1"/>
  <c r="M29" i="1"/>
  <c r="D36" i="6"/>
  <c r="N29" i="1" l="1"/>
  <c r="C36" i="6" s="1"/>
  <c r="M3" i="1"/>
  <c r="M4" i="1"/>
  <c r="M5" i="1"/>
  <c r="M6" i="1"/>
  <c r="M7" i="1"/>
  <c r="M8" i="1"/>
  <c r="M9" i="1"/>
  <c r="M10" i="1"/>
  <c r="M11" i="1"/>
  <c r="M77" i="1"/>
  <c r="M12" i="1"/>
  <c r="M13" i="1"/>
  <c r="M14" i="1"/>
  <c r="M15" i="1"/>
  <c r="M16" i="1"/>
  <c r="M17" i="1"/>
  <c r="M18" i="1"/>
  <c r="M19" i="1"/>
  <c r="N16" i="1" l="1"/>
  <c r="C22" i="6" s="1"/>
  <c r="N7" i="1"/>
  <c r="C6" i="6" s="1"/>
  <c r="C17" i="6"/>
  <c r="N6" i="1"/>
  <c r="C5" i="6" s="1"/>
  <c r="N3" i="1"/>
  <c r="C2" i="6" s="1"/>
  <c r="N14" i="1"/>
  <c r="C14" i="6" s="1"/>
  <c r="N4" i="1"/>
  <c r="C3" i="6" s="1"/>
  <c r="N15" i="1"/>
  <c r="C21" i="6" s="1"/>
  <c r="N18" i="1"/>
  <c r="C24" i="6" s="1"/>
  <c r="C16" i="6"/>
  <c r="N12" i="1"/>
  <c r="C12" i="6" s="1"/>
  <c r="N9" i="1"/>
  <c r="C8" i="6" s="1"/>
  <c r="C18" i="6"/>
  <c r="N11" i="1"/>
  <c r="C10" i="6" s="1"/>
  <c r="N19" i="1"/>
  <c r="C25" i="6" s="1"/>
  <c r="N13" i="1"/>
  <c r="C13" i="6" s="1"/>
  <c r="C20" i="6"/>
  <c r="N17" i="1"/>
  <c r="C23" i="6" s="1"/>
  <c r="C19" i="6"/>
  <c r="C15" i="6"/>
  <c r="N77" i="1"/>
  <c r="C11" i="6" s="1"/>
  <c r="N8" i="1"/>
  <c r="C7" i="6" s="1"/>
  <c r="N5" i="1"/>
  <c r="C4" i="6" s="1"/>
  <c r="N10" i="1"/>
  <c r="C9" i="6" s="1"/>
  <c r="D6" i="6"/>
  <c r="M20" i="1"/>
  <c r="M21" i="1"/>
  <c r="M22" i="1"/>
  <c r="M23" i="1"/>
  <c r="M24" i="1"/>
  <c r="M25" i="1"/>
  <c r="M26" i="1"/>
  <c r="M27" i="1"/>
  <c r="M28" i="1"/>
  <c r="D3" i="6"/>
  <c r="D4" i="6"/>
  <c r="D5" i="6"/>
  <c r="D8" i="6"/>
  <c r="D9" i="6"/>
  <c r="D10" i="6"/>
  <c r="K77" i="1"/>
  <c r="D11" i="6" s="1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2" i="6"/>
  <c r="B2" i="5"/>
  <c r="A2" i="5" s="1"/>
  <c r="B3" i="5"/>
  <c r="A3" i="5" s="1"/>
  <c r="B4" i="5"/>
  <c r="A4" i="5" s="1"/>
  <c r="B6" i="5"/>
  <c r="A6" i="5" s="1"/>
  <c r="B7" i="5"/>
  <c r="A7" i="5" s="1"/>
  <c r="B8" i="5"/>
  <c r="A8" i="5" s="1"/>
  <c r="B9" i="5"/>
  <c r="A9" i="5" s="1"/>
  <c r="B10" i="5"/>
  <c r="B11" i="5"/>
  <c r="A11" i="5" s="1"/>
  <c r="B12" i="5"/>
  <c r="A12" i="5" s="1"/>
  <c r="B13" i="5"/>
  <c r="A13" i="5" s="1"/>
  <c r="B14" i="5"/>
  <c r="A14" i="5" s="1"/>
  <c r="B15" i="5"/>
  <c r="A15" i="5" s="1"/>
  <c r="B16" i="5"/>
  <c r="A16" i="5" s="1"/>
  <c r="B17" i="5"/>
  <c r="A17" i="5" s="1"/>
  <c r="B18" i="5"/>
  <c r="A18" i="5" s="1"/>
  <c r="B19" i="5"/>
  <c r="A19" i="5" s="1"/>
  <c r="B20" i="5"/>
  <c r="A20" i="5" s="1"/>
  <c r="B21" i="5"/>
  <c r="A21" i="5" s="1"/>
  <c r="B22" i="5"/>
  <c r="A22" i="5" s="1"/>
  <c r="B23" i="5"/>
  <c r="A23" i="5" s="1"/>
  <c r="B24" i="5"/>
  <c r="A24" i="5" s="1"/>
  <c r="B25" i="5"/>
  <c r="A25" i="5" s="1"/>
  <c r="B26" i="5"/>
  <c r="A26" i="5" s="1"/>
  <c r="B27" i="5"/>
  <c r="A27" i="5" s="1"/>
  <c r="B28" i="5"/>
  <c r="A28" i="5" s="1"/>
  <c r="B29" i="5"/>
  <c r="A29" i="5" s="1"/>
  <c r="B30" i="5"/>
  <c r="A30" i="5" s="1"/>
  <c r="B31" i="5"/>
  <c r="A31" i="5" s="1"/>
  <c r="B32" i="5"/>
  <c r="A32" i="5" s="1"/>
  <c r="B33" i="5"/>
  <c r="A33" i="5" s="1"/>
  <c r="B34" i="5"/>
  <c r="A34" i="5" s="1"/>
  <c r="B35" i="5"/>
  <c r="A35" i="5" s="1"/>
  <c r="B36" i="5"/>
  <c r="A36" i="5" s="1"/>
  <c r="B37" i="5"/>
  <c r="A37" i="5" s="1"/>
  <c r="B38" i="5"/>
  <c r="A38" i="5" s="1"/>
  <c r="B39" i="5"/>
  <c r="A39" i="5" s="1"/>
  <c r="B40" i="5"/>
  <c r="A40" i="5" s="1"/>
  <c r="B42" i="5"/>
  <c r="A42" i="5" s="1"/>
  <c r="B43" i="5"/>
  <c r="A43" i="5" s="1"/>
  <c r="B44" i="5"/>
  <c r="A44" i="5" s="1"/>
  <c r="B45" i="5"/>
  <c r="A45" i="5" s="1"/>
  <c r="B46" i="5"/>
  <c r="A46" i="5" s="1"/>
  <c r="B47" i="5"/>
  <c r="A47" i="5" s="1"/>
  <c r="B48" i="5"/>
  <c r="A48" i="5" s="1"/>
  <c r="B49" i="5"/>
  <c r="A49" i="5" s="1"/>
  <c r="B50" i="5"/>
  <c r="A50" i="5" s="1"/>
  <c r="B51" i="5"/>
  <c r="A51" i="5" s="1"/>
  <c r="B52" i="5"/>
  <c r="A52" i="5" s="1"/>
  <c r="B53" i="5"/>
  <c r="A53" i="5" s="1"/>
  <c r="B54" i="5"/>
  <c r="A54" i="5" s="1"/>
  <c r="B55" i="5"/>
  <c r="A55" i="5" s="1"/>
  <c r="B56" i="5"/>
  <c r="A56" i="5" s="1"/>
  <c r="B57" i="5"/>
  <c r="A57" i="5" s="1"/>
  <c r="B58" i="5"/>
  <c r="A58" i="5" s="1"/>
  <c r="B59" i="5"/>
  <c r="A59" i="5" s="1"/>
  <c r="B60" i="5"/>
  <c r="A60" i="5" s="1"/>
  <c r="B61" i="5"/>
  <c r="A61" i="5" s="1"/>
  <c r="B62" i="5"/>
  <c r="A62" i="5" s="1"/>
  <c r="B110" i="5"/>
  <c r="B109" i="5"/>
  <c r="B108" i="5"/>
  <c r="B107" i="5"/>
  <c r="B106" i="5"/>
  <c r="B105" i="5"/>
  <c r="B104" i="5"/>
  <c r="A104" i="5" s="1"/>
  <c r="B103" i="5"/>
  <c r="A103" i="5" s="1"/>
  <c r="B102" i="5"/>
  <c r="A102" i="5" s="1"/>
  <c r="B101" i="5"/>
  <c r="A101" i="5" s="1"/>
  <c r="B100" i="5"/>
  <c r="A100" i="5" s="1"/>
  <c r="B99" i="5"/>
  <c r="A99" i="5" s="1"/>
  <c r="B98" i="5"/>
  <c r="A98" i="5" s="1"/>
  <c r="B97" i="5"/>
  <c r="A97" i="5" s="1"/>
  <c r="B96" i="5"/>
  <c r="A96" i="5" s="1"/>
  <c r="B95" i="5"/>
  <c r="A95" i="5" s="1"/>
  <c r="B94" i="5"/>
  <c r="A94" i="5" s="1"/>
  <c r="B93" i="5"/>
  <c r="A93" i="5" s="1"/>
  <c r="B92" i="5"/>
  <c r="A92" i="5" s="1"/>
  <c r="B91" i="5"/>
  <c r="A91" i="5" s="1"/>
  <c r="B90" i="5"/>
  <c r="A90" i="5" s="1"/>
  <c r="B89" i="5"/>
  <c r="A89" i="5" s="1"/>
  <c r="B88" i="5"/>
  <c r="A88" i="5" s="1"/>
  <c r="B87" i="5"/>
  <c r="A87" i="5" s="1"/>
  <c r="B86" i="5"/>
  <c r="A86" i="5" s="1"/>
  <c r="B85" i="5"/>
  <c r="A85" i="5" s="1"/>
  <c r="B84" i="5"/>
  <c r="A84" i="5" s="1"/>
  <c r="B83" i="5"/>
  <c r="A83" i="5" s="1"/>
  <c r="B82" i="5"/>
  <c r="A82" i="5" s="1"/>
  <c r="B81" i="5"/>
  <c r="A81" i="5" s="1"/>
  <c r="B80" i="5"/>
  <c r="A80" i="5" s="1"/>
  <c r="B79" i="5"/>
  <c r="A79" i="5" s="1"/>
  <c r="B78" i="5"/>
  <c r="A78" i="5" s="1"/>
  <c r="B77" i="5"/>
  <c r="A77" i="5" s="1"/>
  <c r="B76" i="5"/>
  <c r="A76" i="5" s="1"/>
  <c r="B75" i="5"/>
  <c r="A75" i="5" s="1"/>
  <c r="B74" i="5"/>
  <c r="A74" i="5" s="1"/>
  <c r="B73" i="5"/>
  <c r="A73" i="5" s="1"/>
  <c r="B72" i="5"/>
  <c r="A72" i="5" s="1"/>
  <c r="B71" i="5"/>
  <c r="A71" i="5" s="1"/>
  <c r="B70" i="5"/>
  <c r="A70" i="5" s="1"/>
  <c r="B69" i="5"/>
  <c r="A69" i="5" s="1"/>
  <c r="B68" i="5"/>
  <c r="A68" i="5" s="1"/>
  <c r="B67" i="5"/>
  <c r="A67" i="5" s="1"/>
  <c r="B66" i="5"/>
  <c r="A66" i="5" s="1"/>
  <c r="B65" i="5"/>
  <c r="A65" i="5" s="1"/>
  <c r="B64" i="5"/>
  <c r="A64" i="5" s="1"/>
  <c r="B63" i="5"/>
  <c r="A63" i="5" s="1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A10" i="5" l="1"/>
  <c r="C10" i="5"/>
  <c r="C113" i="5"/>
  <c r="A108" i="1" s="1"/>
  <c r="A113" i="5"/>
  <c r="C108" i="1" s="1"/>
  <c r="C117" i="5"/>
  <c r="A112" i="1" s="1"/>
  <c r="A117" i="5"/>
  <c r="C112" i="1" s="1"/>
  <c r="C121" i="5"/>
  <c r="A116" i="1" s="1"/>
  <c r="A121" i="5"/>
  <c r="C116" i="1" s="1"/>
  <c r="C125" i="5"/>
  <c r="A120" i="1" s="1"/>
  <c r="A125" i="5"/>
  <c r="C120" i="1" s="1"/>
  <c r="C129" i="5"/>
  <c r="A124" i="1" s="1"/>
  <c r="A129" i="5"/>
  <c r="C124" i="1" s="1"/>
  <c r="C57" i="1"/>
  <c r="C63" i="5"/>
  <c r="A57" i="1" s="1"/>
  <c r="C67" i="5"/>
  <c r="A61" i="1" s="1"/>
  <c r="C65" i="1"/>
  <c r="C71" i="5"/>
  <c r="A65" i="1" s="1"/>
  <c r="C75" i="5"/>
  <c r="A69" i="1" s="1"/>
  <c r="C73" i="1"/>
  <c r="C79" i="5"/>
  <c r="A73" i="1" s="1"/>
  <c r="C83" i="5"/>
  <c r="A78" i="1" s="1"/>
  <c r="C82" i="1"/>
  <c r="C87" i="5"/>
  <c r="A82" i="1" s="1"/>
  <c r="C91" i="5"/>
  <c r="A86" i="1" s="1"/>
  <c r="C90" i="1"/>
  <c r="C95" i="5"/>
  <c r="A90" i="1" s="1"/>
  <c r="C99" i="5"/>
  <c r="A94" i="1" s="1"/>
  <c r="C98" i="1"/>
  <c r="C103" i="5"/>
  <c r="A98" i="1" s="1"/>
  <c r="A107" i="5"/>
  <c r="C102" i="1" s="1"/>
  <c r="C107" i="5"/>
  <c r="A102" i="1" s="1"/>
  <c r="C56" i="1"/>
  <c r="C62" i="5"/>
  <c r="A56" i="1" s="1"/>
  <c r="C58" i="5"/>
  <c r="A52" i="1" s="1"/>
  <c r="C48" i="1"/>
  <c r="C54" i="5"/>
  <c r="A48" i="1" s="1"/>
  <c r="C51" i="5"/>
  <c r="A45" i="1" s="1"/>
  <c r="C41" i="1"/>
  <c r="C47" i="5"/>
  <c r="A41" i="1" s="1"/>
  <c r="C37" i="1"/>
  <c r="C43" i="5"/>
  <c r="A37" i="1" s="1"/>
  <c r="C38" i="5"/>
  <c r="A32" i="1" s="1"/>
  <c r="C32" i="1"/>
  <c r="C34" i="5"/>
  <c r="A28" i="1" s="1"/>
  <c r="C28" i="1"/>
  <c r="C32" i="5"/>
  <c r="A26" i="1" s="1"/>
  <c r="C26" i="1"/>
  <c r="C28" i="5"/>
  <c r="A22" i="1" s="1"/>
  <c r="C22" i="1"/>
  <c r="A114" i="5"/>
  <c r="C109" i="1" s="1"/>
  <c r="C114" i="5"/>
  <c r="A109" i="1" s="1"/>
  <c r="A118" i="5"/>
  <c r="C113" i="1" s="1"/>
  <c r="C118" i="5"/>
  <c r="A113" i="1" s="1"/>
  <c r="A122" i="5"/>
  <c r="C117" i="1" s="1"/>
  <c r="C122" i="5"/>
  <c r="A117" i="1" s="1"/>
  <c r="A126" i="5"/>
  <c r="C121" i="1" s="1"/>
  <c r="C126" i="5"/>
  <c r="A121" i="1" s="1"/>
  <c r="A130" i="5"/>
  <c r="C125" i="1" s="1"/>
  <c r="C130" i="5"/>
  <c r="A125" i="1" s="1"/>
  <c r="C64" i="5"/>
  <c r="A58" i="1" s="1"/>
  <c r="C68" i="5"/>
  <c r="A62" i="1" s="1"/>
  <c r="C62" i="1"/>
  <c r="C72" i="5"/>
  <c r="A66" i="1" s="1"/>
  <c r="C66" i="1"/>
  <c r="C76" i="5"/>
  <c r="A70" i="1" s="1"/>
  <c r="C70" i="1"/>
  <c r="C80" i="5"/>
  <c r="A74" i="1" s="1"/>
  <c r="C74" i="1"/>
  <c r="C84" i="5"/>
  <c r="A79" i="1" s="1"/>
  <c r="C79" i="1"/>
  <c r="C88" i="5"/>
  <c r="A83" i="1" s="1"/>
  <c r="C83" i="1"/>
  <c r="C92" i="5"/>
  <c r="A87" i="1" s="1"/>
  <c r="C87" i="1"/>
  <c r="C96" i="5"/>
  <c r="A91" i="1" s="1"/>
  <c r="C91" i="1"/>
  <c r="C100" i="5"/>
  <c r="A95" i="1" s="1"/>
  <c r="C95" i="1"/>
  <c r="C104" i="5"/>
  <c r="A99" i="1" s="1"/>
  <c r="C99" i="1"/>
  <c r="C108" i="5"/>
  <c r="A103" i="1" s="1"/>
  <c r="A108" i="5"/>
  <c r="C103" i="1" s="1"/>
  <c r="C61" i="5"/>
  <c r="A55" i="1" s="1"/>
  <c r="C55" i="1"/>
  <c r="C57" i="5"/>
  <c r="A51" i="1" s="1"/>
  <c r="C51" i="1"/>
  <c r="C53" i="5"/>
  <c r="A47" i="1" s="1"/>
  <c r="C47" i="1"/>
  <c r="C50" i="5"/>
  <c r="A44" i="1" s="1"/>
  <c r="C44" i="1"/>
  <c r="C46" i="5"/>
  <c r="A40" i="1" s="1"/>
  <c r="C40" i="1"/>
  <c r="C42" i="5"/>
  <c r="A36" i="1" s="1"/>
  <c r="C36" i="1"/>
  <c r="C31" i="1"/>
  <c r="C37" i="5"/>
  <c r="A31" i="1" s="1"/>
  <c r="C27" i="1"/>
  <c r="C33" i="5"/>
  <c r="A27" i="1" s="1"/>
  <c r="C25" i="1"/>
  <c r="C31" i="5"/>
  <c r="A25" i="1" s="1"/>
  <c r="A111" i="5"/>
  <c r="C106" i="1" s="1"/>
  <c r="C111" i="5"/>
  <c r="A106" i="1" s="1"/>
  <c r="A115" i="5"/>
  <c r="C110" i="1" s="1"/>
  <c r="C115" i="5"/>
  <c r="A110" i="1" s="1"/>
  <c r="A119" i="5"/>
  <c r="C114" i="1" s="1"/>
  <c r="C119" i="5"/>
  <c r="A114" i="1" s="1"/>
  <c r="A123" i="5"/>
  <c r="C118" i="1" s="1"/>
  <c r="C123" i="5"/>
  <c r="A118" i="1" s="1"/>
  <c r="A127" i="5"/>
  <c r="C122" i="1" s="1"/>
  <c r="C127" i="5"/>
  <c r="A122" i="1" s="1"/>
  <c r="A131" i="5"/>
  <c r="C126" i="1" s="1"/>
  <c r="C131" i="5"/>
  <c r="A126" i="1" s="1"/>
  <c r="C65" i="5"/>
  <c r="A59" i="1" s="1"/>
  <c r="C59" i="1"/>
  <c r="C69" i="5"/>
  <c r="A63" i="1" s="1"/>
  <c r="C63" i="1"/>
  <c r="C73" i="5"/>
  <c r="A67" i="1" s="1"/>
  <c r="C67" i="1"/>
  <c r="C77" i="5"/>
  <c r="A71" i="1" s="1"/>
  <c r="C71" i="1"/>
  <c r="C81" i="5"/>
  <c r="A75" i="1" s="1"/>
  <c r="C75" i="1"/>
  <c r="C85" i="5"/>
  <c r="A80" i="1" s="1"/>
  <c r="C80" i="1"/>
  <c r="C89" i="5"/>
  <c r="A84" i="1" s="1"/>
  <c r="C84" i="1"/>
  <c r="C93" i="5"/>
  <c r="A88" i="1" s="1"/>
  <c r="C88" i="1"/>
  <c r="C97" i="5"/>
  <c r="A92" i="1" s="1"/>
  <c r="C92" i="1"/>
  <c r="C101" i="5"/>
  <c r="A96" i="1" s="1"/>
  <c r="C96" i="1"/>
  <c r="C105" i="5"/>
  <c r="A100" i="1" s="1"/>
  <c r="A105" i="5"/>
  <c r="C100" i="1" s="1"/>
  <c r="C109" i="5"/>
  <c r="A104" i="1" s="1"/>
  <c r="A109" i="5"/>
  <c r="C104" i="1" s="1"/>
  <c r="C60" i="5"/>
  <c r="A54" i="1" s="1"/>
  <c r="C54" i="1"/>
  <c r="C56" i="5"/>
  <c r="A50" i="1" s="1"/>
  <c r="C50" i="1"/>
  <c r="C49" i="5"/>
  <c r="A43" i="1" s="1"/>
  <c r="C43" i="1"/>
  <c r="C45" i="5"/>
  <c r="A39" i="1" s="1"/>
  <c r="C39" i="1"/>
  <c r="C34" i="1"/>
  <c r="C40" i="5"/>
  <c r="A34" i="1" s="1"/>
  <c r="C30" i="1"/>
  <c r="C36" i="5"/>
  <c r="A30" i="1" s="1"/>
  <c r="C24" i="1"/>
  <c r="C30" i="5"/>
  <c r="A24" i="1" s="1"/>
  <c r="C112" i="5"/>
  <c r="A107" i="1" s="1"/>
  <c r="A112" i="5"/>
  <c r="C107" i="1" s="1"/>
  <c r="C116" i="5"/>
  <c r="A111" i="1" s="1"/>
  <c r="A116" i="5"/>
  <c r="C111" i="1" s="1"/>
  <c r="C120" i="5"/>
  <c r="A115" i="1" s="1"/>
  <c r="A120" i="5"/>
  <c r="C115" i="1" s="1"/>
  <c r="C124" i="5"/>
  <c r="A119" i="1" s="1"/>
  <c r="A124" i="5"/>
  <c r="C119" i="1" s="1"/>
  <c r="C128" i="5"/>
  <c r="A123" i="1" s="1"/>
  <c r="A128" i="5"/>
  <c r="C123" i="1" s="1"/>
  <c r="C132" i="5"/>
  <c r="A127" i="1" s="1"/>
  <c r="A132" i="5"/>
  <c r="C127" i="1" s="1"/>
  <c r="C60" i="1"/>
  <c r="C66" i="5"/>
  <c r="A60" i="1" s="1"/>
  <c r="C64" i="1"/>
  <c r="C70" i="5"/>
  <c r="A64" i="1" s="1"/>
  <c r="C68" i="1"/>
  <c r="C74" i="5"/>
  <c r="A68" i="1" s="1"/>
  <c r="C72" i="1"/>
  <c r="C78" i="5"/>
  <c r="A72" i="1" s="1"/>
  <c r="C76" i="1"/>
  <c r="C82" i="5"/>
  <c r="A76" i="1" s="1"/>
  <c r="C81" i="1"/>
  <c r="C86" i="5"/>
  <c r="A81" i="1" s="1"/>
  <c r="C85" i="1"/>
  <c r="C90" i="5"/>
  <c r="A85" i="1" s="1"/>
  <c r="C89" i="1"/>
  <c r="C94" i="5"/>
  <c r="A89" i="1" s="1"/>
  <c r="C93" i="1"/>
  <c r="C98" i="5"/>
  <c r="A93" i="1" s="1"/>
  <c r="C97" i="1"/>
  <c r="C102" i="5"/>
  <c r="A97" i="1" s="1"/>
  <c r="A106" i="5"/>
  <c r="C101" i="1" s="1"/>
  <c r="C106" i="5"/>
  <c r="A101" i="1" s="1"/>
  <c r="A110" i="5"/>
  <c r="C105" i="1" s="1"/>
  <c r="C110" i="5"/>
  <c r="A105" i="1" s="1"/>
  <c r="C53" i="1"/>
  <c r="C59" i="5"/>
  <c r="A53" i="1" s="1"/>
  <c r="C49" i="1"/>
  <c r="C55" i="5"/>
  <c r="A49" i="1" s="1"/>
  <c r="C46" i="1"/>
  <c r="C52" i="5"/>
  <c r="A46" i="1" s="1"/>
  <c r="C42" i="1"/>
  <c r="C48" i="5"/>
  <c r="A42" i="1" s="1"/>
  <c r="C38" i="1"/>
  <c r="C44" i="5"/>
  <c r="A38" i="1" s="1"/>
  <c r="C33" i="1"/>
  <c r="C39" i="5"/>
  <c r="A33" i="1" s="1"/>
  <c r="C29" i="1"/>
  <c r="C35" i="5"/>
  <c r="A29" i="1" s="1"/>
  <c r="C23" i="1"/>
  <c r="C29" i="5"/>
  <c r="A23" i="1" s="1"/>
  <c r="C15" i="1"/>
  <c r="C21" i="5"/>
  <c r="A15" i="1" s="1"/>
  <c r="C24" i="5"/>
  <c r="A18" i="1" s="1"/>
  <c r="C18" i="1"/>
  <c r="C20" i="5"/>
  <c r="C16" i="5"/>
  <c r="C12" i="5"/>
  <c r="C12" i="1"/>
  <c r="C9" i="1"/>
  <c r="C9" i="5"/>
  <c r="C5" i="5"/>
  <c r="C27" i="5"/>
  <c r="A21" i="1" s="1"/>
  <c r="C21" i="1"/>
  <c r="C23" i="5"/>
  <c r="A17" i="1" s="1"/>
  <c r="C17" i="1"/>
  <c r="C19" i="5"/>
  <c r="C15" i="5"/>
  <c r="A77" i="1"/>
  <c r="C77" i="1"/>
  <c r="C8" i="5"/>
  <c r="C8" i="1"/>
  <c r="C4" i="5"/>
  <c r="C5" i="1"/>
  <c r="C26" i="5"/>
  <c r="A20" i="1" s="1"/>
  <c r="C20" i="1"/>
  <c r="C22" i="5"/>
  <c r="A16" i="1" s="1"/>
  <c r="C16" i="1"/>
  <c r="C18" i="5"/>
  <c r="C14" i="1"/>
  <c r="C14" i="5"/>
  <c r="C11" i="1"/>
  <c r="C11" i="5"/>
  <c r="C7" i="5"/>
  <c r="C7" i="1"/>
  <c r="C3" i="5"/>
  <c r="C4" i="1"/>
  <c r="C19" i="1"/>
  <c r="C25" i="5"/>
  <c r="A19" i="1" s="1"/>
  <c r="C17" i="5"/>
  <c r="C13" i="1"/>
  <c r="C13" i="5"/>
  <c r="C10" i="1"/>
  <c r="C6" i="1"/>
  <c r="C6" i="5"/>
  <c r="C2" i="5"/>
  <c r="C3" i="1"/>
  <c r="N21" i="1"/>
  <c r="C27" i="6" s="1"/>
  <c r="N24" i="1"/>
  <c r="C30" i="6" s="1"/>
  <c r="N20" i="1"/>
  <c r="C26" i="6" s="1"/>
  <c r="N27" i="1"/>
  <c r="C34" i="6" s="1"/>
  <c r="C33" i="6"/>
  <c r="N23" i="1"/>
  <c r="C29" i="6" s="1"/>
  <c r="N25" i="1"/>
  <c r="C31" i="6" s="1"/>
  <c r="N28" i="1"/>
  <c r="C35" i="6" s="1"/>
  <c r="N26" i="1"/>
  <c r="C32" i="6" s="1"/>
  <c r="N22" i="1"/>
  <c r="C28" i="6" s="1"/>
  <c r="C61" i="1"/>
  <c r="C69" i="1"/>
  <c r="C78" i="1"/>
  <c r="C86" i="1"/>
  <c r="C94" i="1"/>
  <c r="C52" i="1"/>
  <c r="C45" i="1"/>
  <c r="C58" i="1"/>
  <c r="B41" i="5" l="1"/>
  <c r="A41" i="5" s="1"/>
  <c r="C35" i="1" l="1"/>
  <c r="C41" i="5"/>
  <c r="A35" i="1" s="1"/>
</calcChain>
</file>

<file path=xl/sharedStrings.xml><?xml version="1.0" encoding="utf-8"?>
<sst xmlns="http://schemas.openxmlformats.org/spreadsheetml/2006/main" count="391" uniqueCount="73">
  <si>
    <t>E-mail</t>
  </si>
  <si>
    <t>CNPJ</t>
  </si>
  <si>
    <t>NOME</t>
  </si>
  <si>
    <t>FILIAL</t>
  </si>
  <si>
    <t>tipo</t>
  </si>
  <si>
    <t>Email</t>
  </si>
  <si>
    <t xml:space="preserve"> </t>
  </si>
  <si>
    <t>VENCIMENTO</t>
  </si>
  <si>
    <t>VALOR</t>
  </si>
  <si>
    <t>Boleto-</t>
  </si>
  <si>
    <t>BOLETO</t>
  </si>
  <si>
    <t>banco</t>
  </si>
  <si>
    <t>Renomear arquivos</t>
  </si>
  <si>
    <t>nº Bancário</t>
  </si>
  <si>
    <t>nº Boletos</t>
  </si>
  <si>
    <t xml:space="preserve">Boletos </t>
  </si>
  <si>
    <t>CTE</t>
  </si>
  <si>
    <t>Interno</t>
  </si>
  <si>
    <t>6219092641</t>
  </si>
  <si>
    <t>Boleto-59656</t>
  </si>
  <si>
    <t>6219092637</t>
  </si>
  <si>
    <t>Boleto-59655</t>
  </si>
  <si>
    <t>6219092638</t>
  </si>
  <si>
    <t>Boleto-59657</t>
  </si>
  <si>
    <t>6219092640</t>
  </si>
  <si>
    <t>Boleto-4036</t>
  </si>
  <si>
    <t>6219092642</t>
  </si>
  <si>
    <t>Boleto-25769</t>
  </si>
  <si>
    <t>6219092639</t>
  </si>
  <si>
    <t>Boleto-25770</t>
  </si>
  <si>
    <t>6219092635</t>
  </si>
  <si>
    <t>Boleto-25767</t>
  </si>
  <si>
    <t>6219092636</t>
  </si>
  <si>
    <t>Boleto-25768</t>
  </si>
  <si>
    <t>6219092633</t>
  </si>
  <si>
    <t>Boleto-59665</t>
  </si>
  <si>
    <t>6219092634</t>
  </si>
  <si>
    <t>Boleto-59660</t>
  </si>
  <si>
    <t>6219092645</t>
  </si>
  <si>
    <t>Boleto-59668</t>
  </si>
  <si>
    <t>6219092643</t>
  </si>
  <si>
    <t>Boleto-59666</t>
  </si>
  <si>
    <t>6219092647</t>
  </si>
  <si>
    <t>Boleto-59661</t>
  </si>
  <si>
    <t>6219092646</t>
  </si>
  <si>
    <t>Boleto-141932</t>
  </si>
  <si>
    <t>03849500000190</t>
  </si>
  <si>
    <t>27595780000620</t>
  </si>
  <si>
    <t>09272047000502</t>
  </si>
  <si>
    <t>39826854000167</t>
  </si>
  <si>
    <t>11170197000123</t>
  </si>
  <si>
    <t>11726521000902</t>
  </si>
  <si>
    <t>26757376000309</t>
  </si>
  <si>
    <t>06900979000130</t>
  </si>
  <si>
    <t>00873894000124</t>
  </si>
  <si>
    <t>15205628000281</t>
  </si>
  <si>
    <t>062226226174</t>
  </si>
  <si>
    <t>062226226182</t>
  </si>
  <si>
    <t>062226226190</t>
  </si>
  <si>
    <t>062226226204</t>
  </si>
  <si>
    <t>062226226212</t>
  </si>
  <si>
    <t>062226226239</t>
  </si>
  <si>
    <t>062226226247</t>
  </si>
  <si>
    <t>062226226255</t>
  </si>
  <si>
    <t>062226226263</t>
  </si>
  <si>
    <t>062226226271</t>
  </si>
  <si>
    <t>06222622628X</t>
  </si>
  <si>
    <t>062226226298</t>
  </si>
  <si>
    <t>Aviso</t>
  </si>
  <si>
    <t>horario</t>
  </si>
  <si>
    <t>Enviado</t>
  </si>
  <si>
    <t>Aviso VCT</t>
  </si>
  <si>
    <t>evandrosm@live.com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</si>
</sst>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12">
    <font>
      <sz val="11"/>
      <color rgb="FF000000"/>
      <name val="Calibri"/>
      <family val="2"/>
      <charset val="1"/>
    </font>
    <font>
      <b/>
      <sz val="11"/>
      <color rgb="FFFFFFFF"/>
      <name val="Calibri"/>
      <family val="2"/>
      <charset val="1"/>
    </font>
    <font>
      <u/>
      <sz val="11"/>
      <color rgb="FF0563C1"/>
      <name val="Calibri"/>
      <family val="2"/>
      <charset val="1"/>
    </font>
    <font>
      <sz val="10"/>
      <name val="Arial"/>
      <family val="2"/>
    </font>
    <font>
      <b/>
      <sz val="11"/>
      <name val="Segoe UI"/>
      <family val="2"/>
    </font>
    <font>
      <sz val="11"/>
      <name val="Segoe UI"/>
      <family val="2"/>
    </font>
    <font>
      <sz val="8"/>
      <name val="Calibri"/>
      <family val="2"/>
      <charset val="1"/>
    </font>
    <font>
      <sz val="11"/>
      <color theme="1"/>
      <name val="Segoe UI"/>
      <family val="2"/>
    </font>
    <font>
      <sz val="11"/>
      <color rgb="FF000000"/>
      <name val="Calibri"/>
      <family val="2"/>
      <charset val="1"/>
    </font>
    <font>
      <sz val="11"/>
      <color rgb="FF7E8CA2"/>
      <name val="Geomanist Regular"/>
    </font>
    <font>
      <sz val="11"/>
      <color theme="1"/>
      <name val="Arial"/>
      <family val="2"/>
    </font>
    <font>
      <b/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rgb="FF808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6F6F6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0" fontId="2" fillId="0" borderId="0" applyBorder="0" applyProtection="0"/>
    <xf numFmtId="0" fontId="3" fillId="0" borderId="0"/>
    <xf numFmtId="44" fontId="8" fillId="0" borderId="0" applyFont="0" applyFill="0" applyBorder="0" applyAlignment="0" applyProtection="0"/>
  </cellStyleXfs>
  <cellXfs count="31">
    <xf numFmtId="0" fontId="0" fillId="0" borderId="0" xfId="0"/>
    <xf numFmtId="0" fontId="2" fillId="0" borderId="1" xfId="1" applyBorder="1" applyProtection="1"/>
    <xf numFmtId="0" fontId="1" fillId="2" borderId="1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1" fillId="2" borderId="1" xfId="0" applyFont="1" applyFill="1" applyBorder="1" applyAlignment="1">
      <alignment horizontal="center"/>
    </xf>
    <xf numFmtId="0" fontId="4" fillId="3" borderId="2" xfId="2" applyFont="1" applyFill="1" applyBorder="1" applyAlignment="1">
      <alignment horizontal="left" vertical="top"/>
    </xf>
    <xf numFmtId="0" fontId="5" fillId="0" borderId="2" xfId="2" applyFont="1" applyBorder="1" applyAlignment="1">
      <alignment horizontal="left" vertical="top"/>
    </xf>
    <xf numFmtId="49" fontId="1" fillId="2" borderId="1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14" fontId="1" fillId="2" borderId="1" xfId="0" applyNumberFormat="1" applyFont="1" applyFill="1" applyBorder="1" applyAlignment="1" applyProtection="1">
      <alignment horizontal="center"/>
      <protection locked="0"/>
    </xf>
    <xf numFmtId="14" fontId="0" fillId="0" borderId="1" xfId="0" applyNumberFormat="1" applyBorder="1" applyProtection="1">
      <protection locked="0"/>
    </xf>
    <xf numFmtId="14" fontId="0" fillId="0" borderId="0" xfId="0" applyNumberFormat="1" applyProtection="1">
      <protection locked="0"/>
    </xf>
    <xf numFmtId="49" fontId="0" fillId="0" borderId="1" xfId="0" applyNumberFormat="1" applyBorder="1" applyProtection="1"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49" fontId="9" fillId="4" borderId="0" xfId="0" applyNumberFormat="1" applyFont="1" applyFill="1" applyAlignment="1">
      <alignment horizontal="center" vertical="center" wrapText="1"/>
    </xf>
    <xf numFmtId="0" fontId="10" fillId="5" borderId="0" xfId="0" applyFont="1" applyFill="1" applyAlignment="1">
      <alignment horizontal="center" vertical="center" wrapText="1"/>
    </xf>
    <xf numFmtId="49" fontId="1" fillId="2" borderId="3" xfId="0" applyNumberFormat="1" applyFont="1" applyFill="1" applyBorder="1" applyAlignment="1" applyProtection="1">
      <alignment horizontal="center"/>
      <protection locked="0"/>
    </xf>
    <xf numFmtId="0" fontId="11" fillId="0" borderId="0" xfId="0" applyFont="1"/>
    <xf numFmtId="0" fontId="5" fillId="0" borderId="1" xfId="2" applyFont="1" applyBorder="1" applyAlignment="1">
      <alignment horizontal="left" vertical="top"/>
    </xf>
    <xf numFmtId="49" fontId="1" fillId="2" borderId="1" xfId="0" applyNumberFormat="1" applyFont="1" applyFill="1" applyBorder="1" applyAlignment="1">
      <alignment horizontal="center"/>
    </xf>
    <xf numFmtId="0" fontId="0" fillId="0" borderId="1" xfId="0" applyBorder="1"/>
    <xf numFmtId="49" fontId="1" fillId="2" borderId="3" xfId="0" applyNumberFormat="1" applyFont="1" applyFill="1" applyBorder="1" applyAlignment="1">
      <alignment horizontal="center"/>
    </xf>
    <xf numFmtId="0" fontId="5" fillId="0" borderId="1" xfId="2" applyFont="1" applyBorder="1" applyAlignment="1" applyProtection="1">
      <alignment horizontal="left" vertical="top"/>
      <protection locked="0"/>
    </xf>
    <xf numFmtId="49" fontId="5" fillId="0" borderId="1" xfId="2" applyNumberFormat="1" applyFont="1" applyBorder="1" applyAlignment="1" applyProtection="1">
      <alignment horizontal="left" vertical="top"/>
      <protection locked="0"/>
    </xf>
    <xf numFmtId="0" fontId="5" fillId="0" borderId="1" xfId="2" applyFont="1" applyBorder="1" applyAlignment="1" applyProtection="1">
      <alignment horizontal="center"/>
      <protection locked="0"/>
    </xf>
    <xf numFmtId="1" fontId="7" fillId="0" borderId="1" xfId="0" applyNumberFormat="1" applyFont="1" applyBorder="1" applyAlignment="1" applyProtection="1">
      <alignment horizontal="left" vertical="center"/>
      <protection locked="0"/>
    </xf>
    <xf numFmtId="14" fontId="5" fillId="0" borderId="1" xfId="2" applyNumberFormat="1" applyFont="1" applyBorder="1" applyAlignment="1" applyProtection="1">
      <alignment horizontal="left" vertical="top"/>
      <protection locked="0"/>
    </xf>
    <xf numFmtId="49" fontId="5" fillId="0" borderId="1" xfId="3" applyNumberFormat="1" applyFont="1" applyBorder="1" applyAlignment="1" applyProtection="1">
      <alignment horizontal="left" vertical="top"/>
      <protection locked="0"/>
    </xf>
    <xf numFmtId="1" fontId="7" fillId="0" borderId="1" xfId="0" applyNumberFormat="1" applyFont="1" applyBorder="1" applyAlignment="1" applyProtection="1">
      <alignment horizontal="center"/>
      <protection locked="0"/>
    </xf>
    <xf numFmtId="20" fontId="0" fillId="0" borderId="0" xfId="0" applyNumberFormat="1" applyProtection="1">
      <protection locked="0"/>
    </xf>
  </cellXfs>
  <cellStyles count="4">
    <cellStyle name="Hiperlink" xfId="1" builtinId="8"/>
    <cellStyle name="Moeda" xfId="3" builtinId="4"/>
    <cellStyle name="Normal" xfId="0" builtinId="0"/>
    <cellStyle name="Normal 2" xfId="2" xr:uid="{C8379A71-C01C-45B5-B613-3CA64EAD4465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BF90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615157</xdr:colOff>
      <xdr:row>0</xdr:row>
      <xdr:rowOff>58720</xdr:rowOff>
    </xdr:from>
    <xdr:to>
      <xdr:col>15</xdr:col>
      <xdr:colOff>257969</xdr:colOff>
      <xdr:row>0</xdr:row>
      <xdr:rowOff>592438</xdr:rowOff>
    </xdr:to>
    <xdr:sp macro="[0]!enviar_email" textlink="">
      <xdr:nvSpPr>
        <xdr:cNvPr id="2" name="CustomSha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340704" y="58720"/>
          <a:ext cx="1458515" cy="533718"/>
        </a:xfrm>
        <a:prstGeom prst="roundRect">
          <a:avLst>
            <a:gd name="adj" fmla="val 16667"/>
          </a:avLst>
        </a:prstGeom>
        <a:solidFill>
          <a:schemeClr val="accent1"/>
        </a:solidFill>
        <a:ln>
          <a:noFill/>
        </a:ln>
        <a:effectLst>
          <a:outerShdw blurRad="44450" dist="2808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/>
      </xdr:style>
      <xdr:txBody>
        <a:bodyPr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pt-BR" sz="1100" b="1" strike="noStrike" spc="-1">
              <a:solidFill>
                <a:srgbClr val="FFFFFF"/>
              </a:solidFill>
              <a:latin typeface="Arial"/>
            </a:rPr>
            <a:t>Enviar CTes</a:t>
          </a:r>
          <a:endParaRPr lang="pt-BR" sz="1100" b="0" strike="noStrike" spc="-1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evandro_motta_transgabardo_com_br/Documents/BOLETOS%20e%20FATURAS/Cat&#225;logo%20de%20Endere&#231;o/CAT&#193;LOGO%20DE%20ENDERE&#199;O%20-%20Enviar%20E-mail%20Gabard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tálogo de e-mails"/>
    </sheetNames>
    <sheetDataSet>
      <sheetData sheetId="0">
        <row r="2">
          <cell r="A2" t="str">
            <v>67431718000103</v>
          </cell>
          <cell r="B2" t="str">
            <v>02 Produções Artísticas</v>
          </cell>
          <cell r="C2" t="str">
            <v>67431718000103</v>
          </cell>
          <cell r="D2" t="str">
            <v>THIAGOMONTEIROCD@GMAIL.COM; logisticasp4@transgabardo.com.br</v>
          </cell>
        </row>
        <row r="3">
          <cell r="A3" t="str">
            <v>28322354000171</v>
          </cell>
          <cell r="B3" t="str">
            <v>24H7D Consultoria</v>
          </cell>
          <cell r="C3" t="str">
            <v>28322354000171</v>
          </cell>
          <cell r="D3" t="str">
            <v>relacionamento@24h7d.com.br; diego.bittencourt@transgabardo.com.br</v>
          </cell>
        </row>
        <row r="4">
          <cell r="A4" t="str">
            <v>11170197000123</v>
          </cell>
          <cell r="B4" t="str">
            <v>2Japão</v>
          </cell>
          <cell r="C4" t="str">
            <v>11170197000123</v>
          </cell>
          <cell r="D4" t="str">
            <v>adm@2japaocaminhoes.com.br; bauer.machado@transgabardo.com.br; gabardopreal3@transgabardo.com.br; gabardopreal.fat3@transgabardo.com.br</v>
          </cell>
        </row>
        <row r="5">
          <cell r="A5" t="str">
            <v>28462087000138</v>
          </cell>
          <cell r="B5" t="str">
            <v>5001 Veículos</v>
          </cell>
          <cell r="C5" t="str">
            <v>28462087000138</v>
          </cell>
          <cell r="D5" t="str">
            <v>fiscal@5001veiculos.com.br;  bauer.machado@transgabardo.com.br; gabardopreal3@transgabardo.com.br; gabardopreal.fat3@transgabardo.com.br</v>
          </cell>
        </row>
        <row r="6">
          <cell r="A6" t="str">
            <v>03849500000190</v>
          </cell>
          <cell r="B6" t="str">
            <v>A Central</v>
          </cell>
          <cell r="C6" t="str">
            <v>03849500000190</v>
          </cell>
          <cell r="D6" t="str">
            <v>central@acentral.com.br; diego.bittencourt@transgabardo.com.br; logistica@acentral.com.br</v>
          </cell>
        </row>
        <row r="7">
          <cell r="A7" t="str">
            <v>11281936000235</v>
          </cell>
          <cell r="B7" t="str">
            <v xml:space="preserve">A R W LOCADORA </v>
          </cell>
          <cell r="C7" t="str">
            <v>11281936000235</v>
          </cell>
          <cell r="D7" t="str">
            <v>apwagner@uol.com.br; gabardoes@transgabardo.com.br</v>
          </cell>
        </row>
        <row r="8">
          <cell r="A8" t="str">
            <v>08666234000184</v>
          </cell>
          <cell r="B8" t="str">
            <v>Aço Aracaju</v>
          </cell>
          <cell r="C8" t="str">
            <v>08666234000184</v>
          </cell>
          <cell r="D8" t="str">
            <v>mayra.pocone@transrio.com.br; gabardopreal3@transgabardo.com.br; daniele.cardoso@transrio.com.br; gabardopreal4@transgabardo.com.br</v>
          </cell>
        </row>
        <row r="9">
          <cell r="A9" t="str">
            <v>35693541000127</v>
          </cell>
          <cell r="B9" t="str">
            <v>Aetos Parts</v>
          </cell>
          <cell r="C9" t="str">
            <v>35693541000127</v>
          </cell>
          <cell r="D9" t="str">
            <v>financeiro@aetosparts.com; jessica.vicente@transgabardo.com.br</v>
          </cell>
        </row>
        <row r="10">
          <cell r="A10" t="str">
            <v>30623485000130</v>
          </cell>
          <cell r="B10" t="str">
            <v xml:space="preserve">Agile </v>
          </cell>
          <cell r="C10" t="str">
            <v>30623485000130</v>
          </cell>
          <cell r="D10" t="str">
            <v>locacaoagile@gmail.com; gabardoce@transgabardo.com.br</v>
          </cell>
        </row>
        <row r="11">
          <cell r="A11" t="str">
            <v>20383389000109</v>
          </cell>
          <cell r="B11" t="str">
            <v>Alto Serviço Automotivos</v>
          </cell>
          <cell r="C11" t="str">
            <v>20383389000109</v>
          </cell>
          <cell r="D11" t="str">
            <v>administrativo@altobytopcar.com.br; gabardosc.cml1@transgabardo.com.br</v>
          </cell>
        </row>
        <row r="12">
          <cell r="A12" t="str">
            <v>03324310000150</v>
          </cell>
          <cell r="B12" t="str">
            <v>Altra INDL</v>
          </cell>
          <cell r="C12" t="str">
            <v>03324310000150</v>
          </cell>
          <cell r="D12" t="str">
            <v>andre.luiz@altramotion.com; luizantonio@transgabardo.com.br</v>
          </cell>
        </row>
        <row r="13">
          <cell r="A13" t="str">
            <v>03629552000151</v>
          </cell>
          <cell r="B13" t="str">
            <v>Andre Fadanni</v>
          </cell>
          <cell r="C13" t="str">
            <v>03629552000151</v>
          </cell>
          <cell r="D13" t="str">
            <v>milene.cariolato@transrio.com.br;  gabardopreal4@transgabardo.com.br; gabardopreal3@transgabardo.com.br; gabardopreal.fat3@transgabardo.com.br; frutifada@hotmail.com</v>
          </cell>
        </row>
        <row r="14">
          <cell r="A14" t="str">
            <v>13866295000125</v>
          </cell>
          <cell r="B14" t="str">
            <v>APVS</v>
          </cell>
          <cell r="C14" t="str">
            <v>13866295000125</v>
          </cell>
          <cell r="D14" t="str">
            <v>marcus.santos@apvsbrasil.com; erick.patrocinio@mdbsolucoes.com.br; diego.bittencourt@transgabardo.com.br; warley.martins@apvsbrasil.com; nftransporte@apvsbrasil.com; thiago.pereira@mdbsolucoes.com.br; alexander.santos@mdbsolucoes.com.br;</v>
          </cell>
        </row>
        <row r="15">
          <cell r="A15" t="str">
            <v>06248573000115</v>
          </cell>
          <cell r="B15" t="str">
            <v>Ar Transporte e Comércio</v>
          </cell>
          <cell r="C15" t="str">
            <v>06248573000115</v>
          </cell>
          <cell r="D15" t="str">
            <v>HERICLES@ARESPECIAIS.COM.BR;  gabardopreal4@transgabardo.com.br; gabardopreal3@transgabardo.com.br;</v>
          </cell>
        </row>
        <row r="16">
          <cell r="A16" t="str">
            <v>05133369000196</v>
          </cell>
          <cell r="B16" t="str">
            <v>ARR-MAZ</v>
          </cell>
          <cell r="C16" t="str">
            <v>05133369000196</v>
          </cell>
          <cell r="D16" t="str">
            <v>thiago.nascimento@arkema.com; logisticasp4@transgabardo.com.br</v>
          </cell>
        </row>
        <row r="17">
          <cell r="A17" t="str">
            <v>02433631000120</v>
          </cell>
          <cell r="B17" t="str">
            <v>Aspen Pharma</v>
          </cell>
          <cell r="C17" t="str">
            <v>02433631000120</v>
          </cell>
          <cell r="D17" t="str">
            <v>erezende@br.aspenpharma.com; gabardoes@transgabardo.com.br</v>
          </cell>
        </row>
        <row r="18">
          <cell r="A18" t="str">
            <v>02704419000150</v>
          </cell>
          <cell r="B18" t="str">
            <v>Atlantida Decorações</v>
          </cell>
          <cell r="C18" t="str">
            <v>02704419000150</v>
          </cell>
          <cell r="D18" t="str">
            <v>secretariaatlantida1@gmail.com;  gabardopreal4@transgabardo.com.br; gabardopreal3@transgabardo.com.br</v>
          </cell>
        </row>
        <row r="19">
          <cell r="A19" t="str">
            <v>15174418000192</v>
          </cell>
          <cell r="B19" t="str">
            <v>ATRATIVO EMPREENDIMENTOS</v>
          </cell>
          <cell r="C19" t="str">
            <v>15174418000192</v>
          </cell>
          <cell r="D19" t="str">
            <v>cristiano@plenobras.com.br; gabardosc@transgabardo.com.br</v>
          </cell>
        </row>
        <row r="20">
          <cell r="A20" t="str">
            <v>09276679000110</v>
          </cell>
          <cell r="B20" t="str">
            <v>Auto Líbano</v>
          </cell>
          <cell r="C20" t="str">
            <v>09276679000110</v>
          </cell>
          <cell r="D20" t="str">
            <v>autolibano@hotmail.com; diego.bittencourt@transgabardo.com.br; halex@autolibano.com.br; jisselyalves@autolibano.com.br</v>
          </cell>
        </row>
        <row r="21">
          <cell r="A21" t="str">
            <v>05687269000101</v>
          </cell>
          <cell r="B21" t="str">
            <v>Auto Posto Brasilierinho</v>
          </cell>
          <cell r="C21" t="str">
            <v>05687269000101</v>
          </cell>
          <cell r="D21" t="str">
            <v>trrfrota@hotmail.com; gabardopreal4@transgabardo.com.br; gabardopreal3@transgabardo.com.br</v>
          </cell>
        </row>
        <row r="22">
          <cell r="A22" t="str">
            <v>39713737000197</v>
          </cell>
          <cell r="B22" t="str">
            <v>Autokar</v>
          </cell>
          <cell r="C22" t="str">
            <v>39713737000197</v>
          </cell>
          <cell r="D22" t="str">
            <v>financeiro@autokarbrasil.com.br; logisticasp4@transgabardo.com.br</v>
          </cell>
        </row>
        <row r="23">
          <cell r="A23" t="str">
            <v>04953483000108</v>
          </cell>
          <cell r="B23" t="str">
            <v>Automax</v>
          </cell>
          <cell r="C23" t="str">
            <v>04953483000108</v>
          </cell>
          <cell r="D23" t="str">
            <v>patricia@automaxveiculos.com.br; comercial1@transgabardo.com.br</v>
          </cell>
        </row>
        <row r="24">
          <cell r="A24" t="str">
            <v>24870441000293</v>
          </cell>
          <cell r="B24" t="str">
            <v>Bahia Etanol</v>
          </cell>
          <cell r="C24" t="str">
            <v>24870441000293</v>
          </cell>
          <cell r="D24" t="str">
            <v>ramon.oliveira@bahiaetanol.com.br; gabardoes@transgabardo.com.br</v>
          </cell>
        </row>
        <row r="25">
          <cell r="A25" t="str">
            <v>10818693000188</v>
          </cell>
          <cell r="B25" t="str">
            <v>Bard Brasil</v>
          </cell>
          <cell r="C25" t="str">
            <v>10818693000188</v>
          </cell>
          <cell r="D25" t="str">
            <v>adilson.palomares.barranco.filho@bd.com; logisticasp4@transgabardo.com.br</v>
          </cell>
        </row>
        <row r="26">
          <cell r="A26" t="str">
            <v>62092754000680</v>
          </cell>
          <cell r="B26" t="str">
            <v>Bauko Maquinas</v>
          </cell>
          <cell r="C26" t="str">
            <v>62092754000680</v>
          </cell>
          <cell r="D26" t="str">
            <v>daiane.souza@bauko.com.br; comercial1@transgabardo.com.br</v>
          </cell>
        </row>
        <row r="27">
          <cell r="A27" t="str">
            <v>21551379000793</v>
          </cell>
          <cell r="B27" t="str">
            <v>Becton Dickinson</v>
          </cell>
          <cell r="C27" t="str">
            <v>21551379000793</v>
          </cell>
          <cell r="D27" t="str">
            <v>adilson.palomares.barranco.filho@bd.com; logisticasp4@transgabardo.com.br; gabriel.chaves@transgabardo.com.br</v>
          </cell>
        </row>
        <row r="28">
          <cell r="A28" t="str">
            <v>02212918000120</v>
          </cell>
          <cell r="B28" t="str">
            <v>Belcar</v>
          </cell>
          <cell r="C28" t="str">
            <v>02212918000120</v>
          </cell>
          <cell r="D28" t="str">
            <v xml:space="preserve">gabardopreal4@transgabardo.com.br; vendas@belcarcaminhoes.com.br; fin@belcarcaminhoes.com.br; gustavo@belcarcaminhoes.com.br </v>
          </cell>
        </row>
        <row r="29">
          <cell r="A29" t="str">
            <v>03421279000175</v>
          </cell>
          <cell r="B29" t="str">
            <v>Belfort Automoveis</v>
          </cell>
          <cell r="C29" t="str">
            <v>03421279000175</v>
          </cell>
          <cell r="D29" t="str">
            <v xml:space="preserve">carroreservabelfort@belfortautomoveis.com.br; diego.bittencourt@transgabardo.com.br; </v>
          </cell>
        </row>
        <row r="30">
          <cell r="A30" t="str">
            <v>12164614000198</v>
          </cell>
          <cell r="B30" t="str">
            <v>Brasil Distresse</v>
          </cell>
          <cell r="C30" t="str">
            <v>12164614000198</v>
          </cell>
          <cell r="D30" t="str">
            <v>soraia@brd.net.br; logisticasp4@transgabardo.com.br;</v>
          </cell>
        </row>
        <row r="31">
          <cell r="A31" t="str">
            <v>82713843000280</v>
          </cell>
          <cell r="B31" t="str">
            <v>Breitkopf</v>
          </cell>
          <cell r="C31" t="str">
            <v>82713843000280</v>
          </cell>
          <cell r="D31" t="str">
            <v>nelson@breitkopf.com.br; gabardopreal4@transgabardo.com.br; gabardopreal.fat3@transgabardo.com.br; gabardopreal3@transgabardo.com.br</v>
          </cell>
        </row>
        <row r="32">
          <cell r="A32" t="str">
            <v>60860087012024</v>
          </cell>
          <cell r="B32" t="str">
            <v>Brinks - Cachoeiro de Itapemirim</v>
          </cell>
          <cell r="C32" t="str">
            <v>60860087012024</v>
          </cell>
          <cell r="D32" t="str">
            <v>diego.bittencourt@transgabardo.com.br; fabiano.luiz@brinks.com.br; jose.lazaro@brinks.com.br</v>
          </cell>
        </row>
        <row r="33">
          <cell r="A33" t="str">
            <v>60860087003890</v>
          </cell>
          <cell r="B33" t="str">
            <v>Brinks - Fortaleza</v>
          </cell>
          <cell r="C33" t="str">
            <v>60860087003890</v>
          </cell>
          <cell r="D33" t="str">
            <v>diego.bittencourt@transgabardo.com.br; fabiano.luiz@brinks.com.br; jose.lazaro@brinks.com.br</v>
          </cell>
        </row>
        <row r="34">
          <cell r="A34" t="str">
            <v>60860087015805</v>
          </cell>
          <cell r="B34" t="str">
            <v>Brinks - Goiânia</v>
          </cell>
          <cell r="C34" t="str">
            <v>60860087015805</v>
          </cell>
          <cell r="D34" t="str">
            <v>diego.bittencourt@transgabardo.com.br; fabiano.luiz@brinks.com.br; jose.lazaro@brinks.com.br</v>
          </cell>
        </row>
        <row r="35">
          <cell r="A35" t="str">
            <v>60860087016950</v>
          </cell>
          <cell r="B35" t="str">
            <v>Brinks - Itapetininga</v>
          </cell>
          <cell r="C35" t="str">
            <v>60860087016950</v>
          </cell>
          <cell r="D35" t="str">
            <v>diego.bittencourt@transgabardo.com.br; fabiano.luiz@brinks.com.br; jose.lazaro@brinks.com.br</v>
          </cell>
        </row>
        <row r="36">
          <cell r="A36" t="str">
            <v>60860087013934</v>
          </cell>
          <cell r="B36" t="str">
            <v>Brinks - Joinville</v>
          </cell>
          <cell r="C36" t="str">
            <v>60860087013934</v>
          </cell>
          <cell r="D36" t="str">
            <v>diego.bittencourt@transgabardo.com.br; fabiano.luiz@brinks.com.br; jose.lazaro@brinks.com.br</v>
          </cell>
        </row>
        <row r="37">
          <cell r="A37" t="str">
            <v>60860087016526</v>
          </cell>
          <cell r="B37" t="str">
            <v>Brinks - Nova Venecia</v>
          </cell>
          <cell r="C37" t="str">
            <v>60860087016526</v>
          </cell>
          <cell r="D37" t="str">
            <v>diego.bittencourt@transgabardo.com.br; fabiano.luiz@brinks.com.br; jose.lazaro@brinks.com.br</v>
          </cell>
        </row>
        <row r="38">
          <cell r="A38" t="str">
            <v>60860087019118</v>
          </cell>
          <cell r="B38" t="str">
            <v>Brinks - Parnaiba</v>
          </cell>
          <cell r="C38" t="str">
            <v>60860087019118</v>
          </cell>
          <cell r="D38" t="str">
            <v>diego.bittencourt@transgabardo.com.br; fabiano.luiz@brinks.com.br; jose.lazaro@brinks.com.br</v>
          </cell>
        </row>
        <row r="39">
          <cell r="A39" t="str">
            <v>60860087019207</v>
          </cell>
          <cell r="B39" t="str">
            <v>Brinks - Picos</v>
          </cell>
          <cell r="C39" t="str">
            <v>60860087019207</v>
          </cell>
          <cell r="D39" t="str">
            <v>diego.bittencourt@transgabardo.com.br; fabiano.luiz@brinks.com.br; jose.lazaro@brinks.com.br</v>
          </cell>
        </row>
        <row r="40">
          <cell r="A40" t="str">
            <v>60860087011214</v>
          </cell>
          <cell r="B40" t="str">
            <v>Brinks - Porto Alegre</v>
          </cell>
          <cell r="C40" t="str">
            <v>60860087011214</v>
          </cell>
          <cell r="D40" t="str">
            <v>diego.bittencourt@transgabardo.com.br; fabiano.luiz@brinks.com.br; jose.lazaro@brinks.com.br</v>
          </cell>
        </row>
        <row r="41">
          <cell r="A41" t="str">
            <v>60860087019975</v>
          </cell>
          <cell r="B41" t="str">
            <v>Brinks - Recife</v>
          </cell>
          <cell r="C41" t="str">
            <v>60860087019975</v>
          </cell>
          <cell r="D41" t="str">
            <v>diego.bittencourt@transgabardo.com.br; fabiano.luiz@brinks.com.br; jose.lazaro@brinks.com.br</v>
          </cell>
        </row>
        <row r="42">
          <cell r="A42" t="str">
            <v>60860087000360</v>
          </cell>
          <cell r="B42" t="str">
            <v>Brinks - Rio de Janeiro</v>
          </cell>
          <cell r="C42" t="str">
            <v>60860087000360</v>
          </cell>
          <cell r="D42" t="str">
            <v>diego.bittencourt@transgabardo.com.br; fabiano.luiz@brinks.com.br; jose.lazaro@brinks.com.br</v>
          </cell>
        </row>
        <row r="43">
          <cell r="A43" t="str">
            <v>60860087000956</v>
          </cell>
          <cell r="B43" t="str">
            <v>Brinks - São José do Rio Preto</v>
          </cell>
          <cell r="C43" t="str">
            <v>60860087000956</v>
          </cell>
          <cell r="D43" t="str">
            <v>diego.bittencourt@transgabardo.com.br; fabiano.luiz@brinks.com.br; jose.lazaro@brinks.com.br</v>
          </cell>
        </row>
        <row r="44">
          <cell r="A44" t="str">
            <v>60860087001170</v>
          </cell>
          <cell r="B44" t="str">
            <v>Brinks - São Paulo</v>
          </cell>
          <cell r="C44" t="str">
            <v>60860087001170</v>
          </cell>
          <cell r="D44" t="str">
            <v>diego.bittencourt@transgabardo.com.br; fabiano.luiz@brinks.com.br; jose.lazaro@brinks.com.br</v>
          </cell>
        </row>
        <row r="45">
          <cell r="A45" t="str">
            <v>60860087017760</v>
          </cell>
          <cell r="B45" t="str">
            <v>Brinks - Teresina</v>
          </cell>
          <cell r="C45" t="str">
            <v>60860087017760</v>
          </cell>
          <cell r="D45" t="str">
            <v>diego.bittencourt@transgabardo.com.br; fabiano.luiz@brinks.com.br; jose.lazaro@brinks.com.br</v>
          </cell>
        </row>
        <row r="46">
          <cell r="A46" t="str">
            <v>60860087002495</v>
          </cell>
          <cell r="B46" t="str">
            <v>Brinks - Vitoria</v>
          </cell>
          <cell r="C46" t="str">
            <v>60860087002495</v>
          </cell>
          <cell r="D46" t="str">
            <v>diego.bittencourt@transgabardo.com.br; fabiano.luiz@brinks.com.br; jose.lazaro@brinks.com.br</v>
          </cell>
        </row>
        <row r="47">
          <cell r="A47" t="str">
            <v>18123402000149</v>
          </cell>
          <cell r="B47" t="str">
            <v>BRK Ambiental - Goias</v>
          </cell>
          <cell r="C47" t="str">
            <v>18123402000149</v>
          </cell>
          <cell r="D47" t="str">
            <v>JONATHAS@BRKAMBIENTAL.COM.BR; comercialsp@transgabardo.com.br</v>
          </cell>
        </row>
        <row r="48">
          <cell r="A48" t="str">
            <v>21480839000144</v>
          </cell>
          <cell r="B48" t="str">
            <v>BRK Ambiental - Sumaré</v>
          </cell>
          <cell r="C48" t="str">
            <v>21480839000144</v>
          </cell>
          <cell r="D48" t="str">
            <v>edipo@brkambiental.com.br; comercialsp@transgabardo.com.br</v>
          </cell>
        </row>
        <row r="49">
          <cell r="A49" t="str">
            <v>24396489000120</v>
          </cell>
          <cell r="B49" t="str">
            <v>BRK Ambiental Part.</v>
          </cell>
          <cell r="C49" t="str">
            <v>24396489000120</v>
          </cell>
          <cell r="D49" t="str">
            <v>jaf@brkambiental.com.br; comercialsp@transgabardo.com.br</v>
          </cell>
        </row>
        <row r="50">
          <cell r="A50" t="str">
            <v>08944556000148</v>
          </cell>
          <cell r="B50" t="str">
            <v>BSB DF Transportes de Carga</v>
          </cell>
          <cell r="C50" t="str">
            <v>08944556000148</v>
          </cell>
          <cell r="D50" t="str">
            <v>administrativo@bsbexpress.com.br; eliane@bsbpresscom.br; jacarei3@transgabardo.com.br; bruno@bsbexpress.com.br; gilvan@bsbexpress.com.br</v>
          </cell>
        </row>
        <row r="51">
          <cell r="A51" t="str">
            <v>07957837000172</v>
          </cell>
          <cell r="B51" t="str">
            <v>Busato Comercio de Veiculos</v>
          </cell>
          <cell r="C51" t="str">
            <v>07957837000172</v>
          </cell>
          <cell r="D51" t="str">
            <v>vendas@shiftcar.com.br; mauricio@shiftcar.com.br; atendimentopr@transgabardo.com.br</v>
          </cell>
        </row>
        <row r="52">
          <cell r="A52" t="str">
            <v>43001981000102</v>
          </cell>
          <cell r="B52" t="str">
            <v>CAMDA</v>
          </cell>
          <cell r="C52" t="str">
            <v>43001981000102</v>
          </cell>
          <cell r="D52" t="str">
            <v>contaspagar@camda.com.br; transportes@camda.com.br; atendimentopr@transgabardo.com.br</v>
          </cell>
        </row>
        <row r="53">
          <cell r="A53" t="str">
            <v>51689131000169</v>
          </cell>
          <cell r="B53" t="str">
            <v>Carga Pesada</v>
          </cell>
          <cell r="C53" t="str">
            <v>51689131000169</v>
          </cell>
          <cell r="D53" t="str">
            <v>demetrioridolfi@gmail.com; gabardopreal4@transgabardo.com.br</v>
          </cell>
        </row>
        <row r="54">
          <cell r="A54" t="str">
            <v>43956219000252</v>
          </cell>
          <cell r="B54" t="str">
            <v>Carsale</v>
          </cell>
          <cell r="C54" t="str">
            <v>43956219000252</v>
          </cell>
          <cell r="D54" t="str">
            <v>matheus.gomes@localiza.com; diego.bittencourt@transgabardo.com.br</v>
          </cell>
        </row>
        <row r="55">
          <cell r="A55" t="str">
            <v>43956219000171</v>
          </cell>
          <cell r="B55" t="str">
            <v>Carsale</v>
          </cell>
          <cell r="C55" t="str">
            <v>43956219000171</v>
          </cell>
          <cell r="D55" t="str">
            <v>matheus.gomes@localiza.com; diego.bittencourt@transgabardo.com.br</v>
          </cell>
        </row>
        <row r="56">
          <cell r="A56" t="str">
            <v>43393890000151</v>
          </cell>
          <cell r="B56" t="str">
            <v>CDS Corretora</v>
          </cell>
          <cell r="C56" t="str">
            <v>43393890000151</v>
          </cell>
          <cell r="D56" t="str">
            <v>Corretora@cdscor.com.br; logisticasp4@transgabardo.com.br</v>
          </cell>
        </row>
        <row r="57">
          <cell r="A57" t="str">
            <v>07327166000832</v>
          </cell>
          <cell r="B57" t="str">
            <v>CEQUIP</v>
          </cell>
          <cell r="C57" t="str">
            <v>07327166000832</v>
          </cell>
          <cell r="D57" t="str">
            <v>admmf@cequip.com.br; admmf02@cequip.com.br; andre.costa@transgabardo.com.br; leonardo@cequip.com.br; gabardopreal4@transgabardo.com.br</v>
          </cell>
        </row>
        <row r="58">
          <cell r="A58" t="str">
            <v>07327166000166</v>
          </cell>
          <cell r="B58" t="str">
            <v>CEQUIP - Fortaleza</v>
          </cell>
          <cell r="C58" t="str">
            <v>07327166000166</v>
          </cell>
          <cell r="D58" t="str">
            <v>admmf@cequip.com.br; admmf02@cequip.com.br; andre.costa@transgabardo.com.br; leonardo@cequip.com.br; gabardopreal4@transgabardo.com.br</v>
          </cell>
        </row>
        <row r="59">
          <cell r="A59" t="str">
            <v>35295594000190</v>
          </cell>
          <cell r="B59" t="str">
            <v>CFG Mobilidade</v>
          </cell>
          <cell r="C59" t="str">
            <v>35295594000190</v>
          </cell>
          <cell r="D59" t="str">
            <v>guilherme@gowali.com; gabardopreal4@transgabardo.com.br; gabardopreal3@transgabardo.com.br</v>
          </cell>
        </row>
        <row r="60">
          <cell r="A60" t="str">
            <v>97455612000100</v>
          </cell>
          <cell r="B60" t="str">
            <v>Chamun</v>
          </cell>
          <cell r="C60" t="str">
            <v>97455612000100</v>
          </cell>
          <cell r="D60" t="str">
            <v>nitton@terra.com.br; luizantonio@transgabardo.com.br</v>
          </cell>
        </row>
        <row r="61">
          <cell r="A61" t="str">
            <v>14010548000127</v>
          </cell>
          <cell r="B61" t="str">
            <v>Cia Promotoria UCI</v>
          </cell>
          <cell r="C61" t="str">
            <v>14010548000127</v>
          </cell>
          <cell r="D61" t="str">
            <v>izuri.ramos@uci.com; comercial1@transgabardo.com.br</v>
          </cell>
        </row>
        <row r="62">
          <cell r="A62" t="str">
            <v>36500320000158</v>
          </cell>
          <cell r="B62" t="str">
            <v>Ciac Resende Automóveis</v>
          </cell>
          <cell r="C62" t="str">
            <v>36500320000158</v>
          </cell>
          <cell r="D62" t="str">
            <v>gestorvendasdiretas@renaultriosena.com.br; gabardorj.cml1@transgabardo.com.br</v>
          </cell>
        </row>
        <row r="63">
          <cell r="A63" t="str">
            <v>24850562000192</v>
          </cell>
          <cell r="B63" t="str">
            <v>Cical</v>
          </cell>
          <cell r="C63" t="str">
            <v>24850562000192</v>
          </cell>
          <cell r="D63" t="str">
            <v>alessandro.gomes@grupocical.com.br; comercialsp@transgabardo.com.br</v>
          </cell>
        </row>
        <row r="64">
          <cell r="A64" t="str">
            <v>09437358000150</v>
          </cell>
          <cell r="B64" t="str">
            <v>Claudio Goncalves Auto.</v>
          </cell>
          <cell r="C64" t="str">
            <v>09437358000150</v>
          </cell>
          <cell r="D64" t="str">
            <v>BONFIMAUTOS@HOTMAIL.COM; comercialsp@transgabardo.com.br</v>
          </cell>
        </row>
        <row r="65">
          <cell r="A65" t="str">
            <v>83932418000164</v>
          </cell>
          <cell r="B65" t="str">
            <v>Clemar Eng.</v>
          </cell>
          <cell r="C65" t="str">
            <v>83932418000164</v>
          </cell>
          <cell r="D65" t="str">
            <v>wheverton@clemar.com.br; gabardosc.cml1@transgabardo.com.br</v>
          </cell>
        </row>
        <row r="66">
          <cell r="A66" t="str">
            <v>29483686000109</v>
          </cell>
          <cell r="B66" t="str">
            <v>Clube Brasil</v>
          </cell>
          <cell r="C66" t="str">
            <v>29483686000109</v>
          </cell>
          <cell r="D66" t="str">
            <v>supervisor.atendimento@clubbea.com.br; gerencia@clubbea.com.br; comercial1@transgabardo.com.br</v>
          </cell>
        </row>
        <row r="67">
          <cell r="A67" t="str">
            <v>60849197003266</v>
          </cell>
          <cell r="B67" t="str">
            <v>Codema</v>
          </cell>
          <cell r="C67" t="str">
            <v>60849197003266</v>
          </cell>
          <cell r="D67" t="str">
            <v>rodrigo.favero@scania.com;  gabardopreal4@transgabardo.com.br; gabardopreal3@transgabardo.com.br; gabardopreal.fat3@transgabardo.com.br</v>
          </cell>
        </row>
        <row r="68">
          <cell r="A68" t="str">
            <v>60849197002537</v>
          </cell>
          <cell r="B68" t="str">
            <v>Codema</v>
          </cell>
          <cell r="C68" t="str">
            <v>60849197002537</v>
          </cell>
          <cell r="D68" t="str">
            <v>marta.muniz@scania.com; gabardopreal4@transgabardo.com.br; gabardopreal.fat3@transgabardo.com.br; gabardopreal3@transgabardo.com.br; dilton.vieira@scania.com; tatiane.da.silva@scania.com</v>
          </cell>
        </row>
        <row r="69">
          <cell r="A69" t="str">
            <v>87654547000270</v>
          </cell>
          <cell r="B69" t="str">
            <v>Coesul</v>
          </cell>
          <cell r="C69" t="str">
            <v>87654547000270</v>
          </cell>
          <cell r="D69" t="str">
            <v>alex@coesul.com.br; operacional@transgabardo.com.br</v>
          </cell>
        </row>
        <row r="70">
          <cell r="A70" t="str">
            <v>41826646000100</v>
          </cell>
          <cell r="B70" t="str">
            <v>Com de Veiculos 1330 Motors</v>
          </cell>
          <cell r="C70" t="str">
            <v>41826646000100</v>
          </cell>
          <cell r="D70" t="str">
            <v>MARCIO@1330MOTORS.COM.BR; logisticasp4@transgabardo.com.br</v>
          </cell>
        </row>
        <row r="71">
          <cell r="A71" t="str">
            <v>05094194000155</v>
          </cell>
          <cell r="B71" t="str">
            <v>Com e Transp Comelli</v>
          </cell>
          <cell r="C71" t="str">
            <v>05094194000155</v>
          </cell>
          <cell r="D71" t="str">
            <v>PATRICIA@GRUPOCOMELLI.COM.BR; LUCASCOMELLI@HOTMAIL.COM; gabardopreal4@transgabardo.com.br; gabardopreal3@transgabardo.com.br;</v>
          </cell>
        </row>
        <row r="72">
          <cell r="A72" t="str">
            <v>36538540000170</v>
          </cell>
          <cell r="B72" t="str">
            <v>Com. Veículos OK</v>
          </cell>
          <cell r="C72" t="str">
            <v>36538540000170</v>
          </cell>
          <cell r="D72" t="str">
            <v>paula@grupofaberge.com; comercialsp@transgabardo.com.br</v>
          </cell>
        </row>
        <row r="73">
          <cell r="A73" t="str">
            <v>29981928000186</v>
          </cell>
          <cell r="B73" t="str">
            <v>Combi Kombi</v>
          </cell>
          <cell r="C73" t="str">
            <v>29981928000186</v>
          </cell>
          <cell r="D73" t="str">
            <v>TUZI@COMBIKOMBI.COM; logisticasp4@transgabardo.com.br</v>
          </cell>
        </row>
        <row r="74">
          <cell r="A74" t="str">
            <v>26762312000126</v>
          </cell>
          <cell r="B74" t="str">
            <v>Comelli e Oliveira</v>
          </cell>
          <cell r="C74" t="str">
            <v>26762312000126</v>
          </cell>
          <cell r="D74" t="str">
            <v>PAULO.ALEXANDRE@GRUPOCOMELLI.COM.BR; gabardopreal4@transgabardo.com.br; gabardopreal3@transgabardo.com.br; gabardopreal.fat3@transgabardo.com.br</v>
          </cell>
        </row>
        <row r="75">
          <cell r="A75" t="str">
            <v>02305944000100</v>
          </cell>
          <cell r="B75" t="str">
            <v>Compacta Construtora</v>
          </cell>
          <cell r="C75" t="str">
            <v>02305944000100</v>
          </cell>
          <cell r="D75" t="str">
            <v>GER-ADM@COMPACTACONSTRUTORA.COM.BR; gabardopreal4@transgabardo.com.br; gabardopreal.fat3@transgabardo.com.br; gabardopreal3@transgabardo.com.br</v>
          </cell>
        </row>
        <row r="76">
          <cell r="A76" t="str">
            <v>18572225000188</v>
          </cell>
          <cell r="B76" t="str">
            <v>Concebra</v>
          </cell>
          <cell r="C76" t="str">
            <v>18572225000188</v>
          </cell>
          <cell r="D76" t="str">
            <v>guilherme.mustafa@triunfoconcebra.com.br; gabardopreal.fat3@transgabardo.com.br</v>
          </cell>
        </row>
        <row r="77">
          <cell r="A77" t="str">
            <v>45121666000136</v>
          </cell>
          <cell r="B77" t="str">
            <v>Concept</v>
          </cell>
          <cell r="C77" t="str">
            <v>45121666000136</v>
          </cell>
          <cell r="D77" t="str">
            <v>nayara.souza@a10.imb.br; comercial1@transgabardo.com.br</v>
          </cell>
        </row>
        <row r="78">
          <cell r="A78" t="str">
            <v>00125890000168</v>
          </cell>
          <cell r="B78" t="str">
            <v>Conecta Empreendimento</v>
          </cell>
          <cell r="C78" t="str">
            <v>00125890000168</v>
          </cell>
          <cell r="D78" t="str">
            <v>paula.digianni@conectae.com.br; luizantonio@transgabardo.com.br</v>
          </cell>
        </row>
        <row r="79">
          <cell r="A79" t="str">
            <v>05544676000160</v>
          </cell>
          <cell r="B79" t="str">
            <v>Confiança Chupinha</v>
          </cell>
          <cell r="C79" t="str">
            <v>05544676000160</v>
          </cell>
          <cell r="D79" t="str">
            <v>chupinha22@hotmail.com; gabardopreal4@transgabardo.com.br; gabardopreal3@transgabardo.com.br;</v>
          </cell>
        </row>
        <row r="80">
          <cell r="A80" t="str">
            <v>35773462000126</v>
          </cell>
          <cell r="B80" t="str">
            <v>Cons. Engie</v>
          </cell>
          <cell r="C80" t="str">
            <v>35773462000126</v>
          </cell>
          <cell r="D80" t="str">
            <v>leonardo.rovigatti@engie.com; comercial1@transgabardo.com.br</v>
          </cell>
        </row>
        <row r="81">
          <cell r="A81" t="str">
            <v>02077618000266</v>
          </cell>
          <cell r="B81" t="str">
            <v xml:space="preserve">Coop Agroind </v>
          </cell>
          <cell r="C81" t="str">
            <v>02077618000266</v>
          </cell>
          <cell r="D81" t="str">
            <v>mozairluiz@comigo.com.br; renata.araujo@gruponasa.com.br; gabardopreal4@transgabardo.com.br; gabardopreal3@transgabardo.com.br;</v>
          </cell>
        </row>
        <row r="82">
          <cell r="A82" t="str">
            <v>06943894000130</v>
          </cell>
          <cell r="B82" t="str">
            <v>Covesa</v>
          </cell>
          <cell r="C82" t="str">
            <v>06943894000130</v>
          </cell>
          <cell r="D82" t="str">
            <v>bruno@covesars.com.br; diego.bittencourt@transgabardo.com.br</v>
          </cell>
        </row>
        <row r="83">
          <cell r="A83" t="str">
            <v>04292445000143</v>
          </cell>
          <cell r="B83" t="str">
            <v>CR Oxigênio</v>
          </cell>
          <cell r="C83" t="str">
            <v>04292445000143</v>
          </cell>
          <cell r="D83" t="str">
            <v>mayra.pocone@transrio.com.br; gabardopreal3@transgabardo.com.br; daniele.cardoso@transrio.com.br; gabardopreal4@transgabardo.com.br</v>
          </cell>
        </row>
        <row r="84">
          <cell r="A84" t="str">
            <v>27595780003301</v>
          </cell>
          <cell r="B84" t="str">
            <v xml:space="preserve">CS BRASIL </v>
          </cell>
          <cell r="C84" t="str">
            <v>27595780003301</v>
          </cell>
          <cell r="D84" t="str">
            <v>diego.bittencourt@transgabardo.com.br; luana.jacintho@csbrasilservicos.com.br; cobranca2@transgabardo.com.br; gabriel.chaves@transgabardo.com.br</v>
          </cell>
        </row>
        <row r="85">
          <cell r="A85" t="str">
            <v>27595780001511</v>
          </cell>
          <cell r="B85" t="str">
            <v>CS BRASIL  - Curitiba</v>
          </cell>
          <cell r="C85" t="str">
            <v>27595780001511</v>
          </cell>
          <cell r="D85" t="str">
            <v>diego.bittencourt@transgabardo.com.br; luana.jacintho@csbrasilservicos.com.br; cobranca2@transgabardo.com.br; luciana.ramaioli@csbrasilservicos.com.br; gabriel.chaves@transgabardo.com.br</v>
          </cell>
        </row>
        <row r="86">
          <cell r="A86" t="str">
            <v>27595780001600</v>
          </cell>
          <cell r="B86" t="str">
            <v>CS Brasil - BA</v>
          </cell>
          <cell r="C86" t="str">
            <v>27595780001600</v>
          </cell>
          <cell r="D86" t="str">
            <v>marcio.lopes@csbrasilservicos.com.br; gabriel.chaves@transgabardo.com.br; diego.bittencourt@transgabardo.com.br; luana.jacintho@csbrasilservicos.com.br; cobranca2@transgabardo.com.br</v>
          </cell>
        </row>
        <row r="87">
          <cell r="A87" t="str">
            <v>27595780001430</v>
          </cell>
          <cell r="B87" t="str">
            <v>CS Brasil - Belo Horizonte</v>
          </cell>
          <cell r="C87" t="str">
            <v>27595780001430</v>
          </cell>
          <cell r="D87" t="str">
            <v>diego.bittencourt@transgabardo.com.br; luana.jacintho@csbrasilservicos.com.br; cobranca2@transgabardo.com.br; carolina.barbosa@csbrasilservicos.com.br; gabriel.chaves@transgabardo.com.br graziele.cruz@csbrasilservicos.com.br</v>
          </cell>
        </row>
        <row r="88">
          <cell r="A88" t="str">
            <v>27595780002089</v>
          </cell>
          <cell r="B88" t="str">
            <v>CS BRASIL - Brasilia</v>
          </cell>
          <cell r="C88" t="str">
            <v>27595780002089</v>
          </cell>
          <cell r="D88" t="str">
            <v>diego.bittencourt@transgabardo.com.br; luana.jacintho@csbrasilservicos.com.br; cobranca2@transgabardo.com.br: gabriel.chaves@transgabardo.com.br; vitor.marantes@csbrasilservicos.com.br</v>
          </cell>
        </row>
        <row r="89">
          <cell r="A89">
            <v>10965693001697</v>
          </cell>
          <cell r="B89" t="str">
            <v xml:space="preserve">CS BRASIL - Contagem </v>
          </cell>
          <cell r="C89">
            <v>10965693001697</v>
          </cell>
          <cell r="D89" t="str">
            <v xml:space="preserve"> carolina.barbosa@csbrasilservicos.com.br;luana.jacintho@csbrasilservicos.com.br&gt;</v>
          </cell>
        </row>
        <row r="90">
          <cell r="A90" t="str">
            <v>10965693003550</v>
          </cell>
          <cell r="B90" t="str">
            <v>CS Brasil - Curitiba</v>
          </cell>
          <cell r="C90" t="str">
            <v>10965693003550</v>
          </cell>
          <cell r="D90" t="str">
            <v>diego.bittencourt@transgabardo.com.br; luana.jacintho@csbrasilservicos.com.br; cobranca2@transgabardo.com.br; gabriel.chaves@transgabardo.com.br</v>
          </cell>
        </row>
        <row r="91">
          <cell r="A91" t="str">
            <v>27595780001945</v>
          </cell>
          <cell r="B91" t="str">
            <v>CS BRASIL - ES</v>
          </cell>
          <cell r="C91" t="str">
            <v>27595780001945</v>
          </cell>
          <cell r="D91" t="str">
            <v>diego.bittencourt@transgabardo.com.br; luana.jacintho@csbrasilservicos.com.br; cobranca2@transgabardo.com.br; gabriel.chaves@transgabardo.com.br julia.simone@csbrasilservicos.com.br; anna.almeida@csbrasilservicos.com.br; sandra.iglesia@csbrasilservicos.com.br julia.simone@csbrasilservicos.com.br; anna.almeida@csbrasilservicos.com.br; sandra.iglesia@csbrasilservicos.com.br</v>
          </cell>
        </row>
        <row r="92">
          <cell r="A92" t="str">
            <v>10965693004793</v>
          </cell>
          <cell r="B92" t="str">
            <v>CS Brasil - Fortaleza</v>
          </cell>
          <cell r="C92" t="str">
            <v>10965693004793</v>
          </cell>
          <cell r="D92" t="str">
            <v>diego.bittencourt@transgabardo.com.br; luana.jacintho@csbrasilservicos.com.br; cobranca2@transgabardo.com.br; gabriel.chaves@transgabardo.com.br</v>
          </cell>
        </row>
        <row r="93">
          <cell r="A93" t="str">
            <v>10965693002820</v>
          </cell>
          <cell r="B93" t="str">
            <v>Cs Brasil - Fortaleza</v>
          </cell>
          <cell r="C93" t="str">
            <v>10965693002820</v>
          </cell>
          <cell r="D93" t="str">
            <v>diego.bittencourt@transgabardo.com.br; luana.jacintho@csbrasilservicos.com.br; cobranca2@transgabardo.com.br; gabriel.chaves@transgabardo.com.br</v>
          </cell>
        </row>
        <row r="94">
          <cell r="A94" t="str">
            <v>27595780001864</v>
          </cell>
          <cell r="B94" t="str">
            <v>CS BRASIL - Fortaleza</v>
          </cell>
          <cell r="C94" t="str">
            <v>27595780001864</v>
          </cell>
          <cell r="D94" t="str">
            <v>diego.bittencourt@transgabardo.com.br; luana.jacintho@csbrasilservicos.com.br; cobranca2@transgabardo.com.br; silvia.matos@csbrasilservicos.com.br; gabriel.chaves@transgabardo.com.br</v>
          </cell>
        </row>
        <row r="95">
          <cell r="A95" t="str">
            <v>27595780000701</v>
          </cell>
          <cell r="B95" t="str">
            <v>CS Brasil - Goiania</v>
          </cell>
          <cell r="C95" t="str">
            <v>27595780000701</v>
          </cell>
          <cell r="D95" t="str">
            <v>diego.bittencourt@transgabardo.com.br; luana.jacintho@csbrasilservicos.com.br; cobranca2@transgabardo.com.br; gabriel.chaves@transgabardo.com.br; julia.simone@csbrasilservicos.com.br; anna.almeida@csbrasilservicos.com.br; sandra.iglesia@csbrasilservicos.com.br; admgo@csbrasilservicos.com.br; janielly.dvale@csbrasilservicos.com.br</v>
          </cell>
        </row>
        <row r="96">
          <cell r="A96" t="str">
            <v>10965693002588</v>
          </cell>
          <cell r="B96" t="str">
            <v>CS Brasil - Goiania</v>
          </cell>
          <cell r="C96" t="str">
            <v>10965693002588</v>
          </cell>
          <cell r="D96" t="str">
            <v>diego.bittencourt@transgabardo.com.br; luana.jacintho@csbrasilservicos.com.br; cobranca2@transgabardo.com.br; gabriel.chaves@transgabardo.com.br</v>
          </cell>
        </row>
        <row r="97">
          <cell r="A97" t="str">
            <v>10965693004874</v>
          </cell>
          <cell r="B97" t="str">
            <v>CS Brasil - João Pessoa</v>
          </cell>
          <cell r="C97" t="str">
            <v>10965693004874</v>
          </cell>
          <cell r="D97" t="str">
            <v>diego.bittencourt@transgabardo.com.br; luana.jacintho@csbrasilservicos.com.br; cobranca2@transgabardo.com.br; gabriel.chaves@transgabardo.com.br</v>
          </cell>
        </row>
        <row r="98">
          <cell r="A98" t="str">
            <v>27595780001198</v>
          </cell>
          <cell r="B98" t="str">
            <v>CS Brasil - MG</v>
          </cell>
          <cell r="C98" t="str">
            <v>27595780001198</v>
          </cell>
          <cell r="D98" t="str">
            <v>diego.bittencourt@transgabardo.com.br; luana.jacintho@csbrasilservicos.com.br; cobranca2@transgabardo.com.br;  carolina.barbosa@csbrasilservicos.com.br; gabriel.chaves@transgabardo.com.br</v>
          </cell>
        </row>
        <row r="99">
          <cell r="A99" t="str">
            <v>10965693001263</v>
          </cell>
          <cell r="B99" t="str">
            <v>CS Brasil - Mogi das Cruzes</v>
          </cell>
          <cell r="C99" t="str">
            <v>10965693001263</v>
          </cell>
          <cell r="D99" t="str">
            <v>diego.bittencourt@transgabardo.com.br; luana.jacintho@csbrasilservicos.com.br; cobranca2@transgabardo.com.br; gabriel.chaves@transgabardo.com.br</v>
          </cell>
        </row>
        <row r="100">
          <cell r="A100" t="str">
            <v>27595780000116</v>
          </cell>
          <cell r="B100" t="str">
            <v>CS Brasil - Mogi das Cruzes</v>
          </cell>
          <cell r="C100" t="str">
            <v>27595780000116</v>
          </cell>
          <cell r="D100" t="str">
            <v>diego.bittencourt@transgabardo.com.br; luana.jacintho@csbrasilservicos.com.br; cobranca2@transgabardo.com.br; gabriel.chaves@transgabardo.com.br</v>
          </cell>
        </row>
        <row r="101">
          <cell r="A101" t="str">
            <v>27595780000540</v>
          </cell>
          <cell r="B101" t="str">
            <v>CS BRASIL - Natal</v>
          </cell>
          <cell r="C101" t="str">
            <v>27595780000540</v>
          </cell>
          <cell r="D101" t="str">
            <v>diego.bittencourt@transgabardo.com.br; luana.jacintho@csbrasilservicos.com.br; cobranca2@transgabardo.com.br; gabriel.chaves@transgabardo.com.br</v>
          </cell>
        </row>
        <row r="102">
          <cell r="A102" t="str">
            <v>27595780002321</v>
          </cell>
          <cell r="B102" t="str">
            <v>CS BRASIL - PALMAS</v>
          </cell>
          <cell r="C102" t="str">
            <v>27595780002321</v>
          </cell>
          <cell r="D102" t="str">
            <v>diego.bittencourt@transgabardo.com.br; luana.jacintho@csbrasilservicos.com.br; cobranca2@transgabardo.com.br; gabriel.chaves@transgabardo.com.br</v>
          </cell>
        </row>
        <row r="103">
          <cell r="A103" t="str">
            <v>10965693003207</v>
          </cell>
          <cell r="B103" t="str">
            <v>CS Brasil - Porto Alegre</v>
          </cell>
          <cell r="C103" t="str">
            <v>10965693003207</v>
          </cell>
          <cell r="D103" t="str">
            <v>diego.bittencourt@transgabardo.com.br; luana.jacintho@csbrasilservicos.com.br; cobranca2@transgabardo.com.br; gabriel.chaves@transgabardo.com.br</v>
          </cell>
        </row>
        <row r="104">
          <cell r="A104" t="str">
            <v>27595780001279</v>
          </cell>
          <cell r="B104" t="str">
            <v>CS Brasil - Porto Alegre</v>
          </cell>
          <cell r="C104" t="str">
            <v>27595780001279</v>
          </cell>
          <cell r="D104" t="str">
            <v>diego.bittencourt@transgabardo.com.br; luana.jacintho@csbrasilservicos.com.br; cobranca2@transgabardo.com.br; laura.gomes@csbrasilservicos.com.br; gabriel.chaves@transgabardo.com.br</v>
          </cell>
        </row>
        <row r="105">
          <cell r="A105" t="str">
            <v>10965693000887</v>
          </cell>
          <cell r="B105" t="str">
            <v>CS BRASIL - Rio de Janeiro</v>
          </cell>
          <cell r="C105" t="str">
            <v>10965693000887</v>
          </cell>
          <cell r="D105" t="str">
            <v>diego.bittencourt@transgabardo.com.br; luana.jacintho@csbrasilservicos.com.br; cobranca2@transgabardo.com.br; pedro.sa@csbrasilservicos.com.br; gabriel.chaves@transgabardo.com.br</v>
          </cell>
        </row>
        <row r="106">
          <cell r="A106" t="str">
            <v>27595780002593</v>
          </cell>
          <cell r="B106" t="str">
            <v>CS Brasil - Rio de Janeiro</v>
          </cell>
          <cell r="C106" t="str">
            <v>27595780002593</v>
          </cell>
          <cell r="D106" t="str">
            <v>diego.bittencourt@transgabardo.com.br; luana.jacintho@csbrasilservicos.com.br; cobranca2@transgabardo.com.br; gabriel.chaves@transgabardo.com.br julia.simone@csbrasilservicos.com.br; anna.almeida@csbrasilservicos.com.br; sandra.iglesia@csbrasilservicos.com.br</v>
          </cell>
        </row>
        <row r="107">
          <cell r="A107" t="str">
            <v>27595780000620</v>
          </cell>
          <cell r="B107" t="str">
            <v>CS BRASIL - São José</v>
          </cell>
          <cell r="C107" t="str">
            <v>27595780000620</v>
          </cell>
          <cell r="D107" t="str">
            <v>diego.bittencourt@transgabardo.com.br; luana.jacintho@csbrasilservicos.com.br; cobranca2@transgabardo.com.br; gabriel.chaves@transgabardo.com.br; luciana.ramaioli@csbrasilservicos.com.br</v>
          </cell>
        </row>
        <row r="108">
          <cell r="A108" t="str">
            <v>27595780000469</v>
          </cell>
          <cell r="B108" t="str">
            <v>CS BRASIL - São Paulo</v>
          </cell>
          <cell r="C108" t="str">
            <v>27595780000469</v>
          </cell>
          <cell r="D108" t="str">
            <v>diego.bittencourt@transgabardo.com.br; luana.jacintho@csbrasilservicos.com.br; cobranca2@transgabardo.com.br; gabriel.chaves@transgabardo.com.br; julia.simone@csbrasilservicos.com.br; anna.almeida@csbrasilservicos.com.br; sandra.iglesia@csbrasilservicos.com.br</v>
          </cell>
        </row>
        <row r="109">
          <cell r="A109" t="str">
            <v>10965693000291</v>
          </cell>
          <cell r="B109" t="str">
            <v>CS Brasil - São Paulo</v>
          </cell>
          <cell r="C109" t="str">
            <v>10965693000291</v>
          </cell>
          <cell r="D109" t="str">
            <v>diego.bittencourt@transgabardo.com.br; luana.jacintho@csbrasilservicos.com.br; cobranca2@transgabardo.com.br; camila.alferreira@csbrasilservicos.com.br; gabriel.chaves@transgabardo.com.br</v>
          </cell>
        </row>
        <row r="110">
          <cell r="A110" t="str">
            <v>27595780001600</v>
          </cell>
          <cell r="B110" t="str">
            <v>CS Brasil - Simões Filho</v>
          </cell>
          <cell r="C110" t="str">
            <v>27595780001600</v>
          </cell>
          <cell r="D110" t="str">
            <v>diego.bittencourt@transgabardo.com.br; luana.jacintho@csbrasilservicos.com.br; cobranca2@transgabardo.com.br; gabriel.chaves@transgabardo.com.br</v>
          </cell>
        </row>
        <row r="111">
          <cell r="A111" t="str">
            <v>27595780000973</v>
          </cell>
          <cell r="B111" t="str">
            <v>CS Brasil - Varzea Grande</v>
          </cell>
          <cell r="C111" t="str">
            <v>27595780000973</v>
          </cell>
          <cell r="D111" t="str">
            <v>diego.bittencourt@transgabardo.com.br; luana.jacintho@csbrasilservicos.com.br; cobranca2@transgabardo.com.br; gabriel.chaves@transgabardo.com.br</v>
          </cell>
        </row>
        <row r="112">
          <cell r="A112" t="str">
            <v>27595780001007</v>
          </cell>
          <cell r="B112" t="str">
            <v>CS Brasil -  PE</v>
          </cell>
          <cell r="C112" t="str">
            <v>27595780001007</v>
          </cell>
          <cell r="D112" t="str">
            <v>diego.bittencourt@transgabardo.com.br; luana.jacintho@csbrasilservicos.com.br; cobranca2@transgabardo.com.br; gabriel.chaves@transgabardo.com.br; rafael.lucena@csbrasilservicos.com.br</v>
          </cell>
        </row>
        <row r="113">
          <cell r="A113" t="str">
            <v>27595780002321</v>
          </cell>
          <cell r="B113" t="str">
            <v>CS Btrasil -  TO</v>
          </cell>
          <cell r="C113" t="str">
            <v>27595780002321</v>
          </cell>
          <cell r="D113" t="str">
            <v>diego.bittencourt@transgabardo.com.br; luana.jacintho@csbrasilservicos.com.br; cobranca2@transgabardo.com.br; gabriel.chaves@transgabardo.com.br; fernanda.carlos@csbrasilservicos; angelo.costa@csbrasilservicos.com.br</v>
          </cell>
        </row>
        <row r="114">
          <cell r="A114" t="str">
            <v>05585327000196</v>
          </cell>
          <cell r="B114" t="str">
            <v>Cval</v>
          </cell>
          <cell r="C114" t="str">
            <v>05585327000196</v>
          </cell>
          <cell r="D114" t="str">
            <v>operacional@transgabardo.com.br;  frota@cval.com.br</v>
          </cell>
        </row>
        <row r="115">
          <cell r="A115" t="str">
            <v>31841746000151</v>
          </cell>
          <cell r="B115" t="str">
            <v>D. E. Caldeira</v>
          </cell>
          <cell r="C115" t="str">
            <v>31841746000151</v>
          </cell>
          <cell r="D115" t="str">
            <v>CONTATO.CALDLOC@GMAIL.COM; logisticasp4@transgabardo.com.br; DANIELCALDEIRA@GMAIL.COM</v>
          </cell>
        </row>
        <row r="116">
          <cell r="A116" t="str">
            <v>09350550000105</v>
          </cell>
          <cell r="B116" t="str">
            <v>D.G.M Distribuidora</v>
          </cell>
          <cell r="C116" t="str">
            <v>09350550000105</v>
          </cell>
          <cell r="D116" t="str">
            <v>mayra.pocone@transrio.com.br; gabardopreal3@transgabardo.com.br; daniele.cardoso@transrio.com.br; gabardopreal4@transgabardo.com.br</v>
          </cell>
        </row>
        <row r="117">
          <cell r="A117" t="str">
            <v>8</v>
          </cell>
          <cell r="B117" t="str">
            <v>D2</v>
          </cell>
          <cell r="C117" t="str">
            <v>8</v>
          </cell>
          <cell r="D117" t="str">
            <v>logisticasp4@transgabardo.com.br; vagner@grupod2.net</v>
          </cell>
        </row>
        <row r="118">
          <cell r="A118" t="str">
            <v>02830307000498</v>
          </cell>
          <cell r="B118" t="str">
            <v>DAFONTE - Bayeux</v>
          </cell>
          <cell r="C118" t="str">
            <v>02830307000498</v>
          </cell>
          <cell r="D118" t="str">
            <v xml:space="preserve">brunosoares@dafonte.com.br; pedro@dafonte.com.br; brunosoares@dafonte.com.br; isis@dafonte.com.br; joalisson@dafonte.com.br; paulo@dafonte.com.br; rafaela@dafonte.com.br; reinan@dafonte.com.br; financeiro.pb@dafonte.com.br; gabardopreal4@transgabardo.com.br; </v>
          </cell>
        </row>
        <row r="119">
          <cell r="A119" t="str">
            <v>02830307000579</v>
          </cell>
          <cell r="B119" t="str">
            <v>Dafonte - Maceió</v>
          </cell>
          <cell r="C119" t="str">
            <v>02830307000579</v>
          </cell>
          <cell r="D119" t="str">
            <v>rafaela@dafonte.com.br;  gabardopreal4@transgabardo.com.br; Posvendas.al@dafonte.com.br; financeiro.al@dafonte.com.br</v>
          </cell>
        </row>
        <row r="120">
          <cell r="A120" t="str">
            <v>02830307000226</v>
          </cell>
          <cell r="B120" t="str">
            <v>DAFONTE - Mossoró</v>
          </cell>
          <cell r="C120" t="str">
            <v>02830307000226</v>
          </cell>
          <cell r="D120" t="str">
            <v xml:space="preserve">pedro@dafonte.com.br; brunosoares@dafonte.com.br; isis@dafonte.com.br; joalisson@dafonte.com.br; paulo@dafonte.com.br; rafaela@dafonte.com.br; rafaela@dafonte.com.br; gabardopreal4@transgabardo.com.br; </v>
          </cell>
        </row>
        <row r="121">
          <cell r="A121" t="str">
            <v>02830307000145</v>
          </cell>
          <cell r="B121" t="str">
            <v>DAFONTE - Recife</v>
          </cell>
          <cell r="C121" t="str">
            <v>02830307000145</v>
          </cell>
          <cell r="D121" t="str">
            <v>pedro@dafonte.com.br; brunosoares@dafonte.com.br; isis@dafonte.com.br; joalisson@dafonte.com.br; paulo@dafonte.com.br; rafaela@dafonte.com.br;  gabardopreal4@transgabardo.com.br; kaiovitor@dafonte.com.br; reinan@dafonte.com.br</v>
          </cell>
        </row>
        <row r="122">
          <cell r="A122" t="str">
            <v>03467748000197</v>
          </cell>
          <cell r="B122" t="str">
            <v>Daniel Quadro Bitencourt</v>
          </cell>
          <cell r="C122" t="str">
            <v>03467748000197</v>
          </cell>
          <cell r="D122" t="str">
            <v>retroplan.daniel@gmail.com; diego.bittencourt@transgabardo.com.br</v>
          </cell>
        </row>
        <row r="123">
          <cell r="A123" t="str">
            <v>01287588000500</v>
          </cell>
          <cell r="B123" t="str">
            <v>Dass</v>
          </cell>
          <cell r="C123" t="str">
            <v>01287588000500</v>
          </cell>
          <cell r="D123" t="str">
            <v>sedenir.veiga@grupodass.com.br; luizantonio@transgabardo.com.br</v>
          </cell>
        </row>
        <row r="124">
          <cell r="A124" t="str">
            <v>01287588000250</v>
          </cell>
          <cell r="B124" t="str">
            <v>Dass Nordeste</v>
          </cell>
          <cell r="C124" t="str">
            <v>01287588000250</v>
          </cell>
          <cell r="D124" t="str">
            <v>bruno.guimaraes@grupodass.com.br; luizantonio@transgabardo.com.br</v>
          </cell>
        </row>
        <row r="125">
          <cell r="A125" t="str">
            <v>03686915000190</v>
          </cell>
          <cell r="B125" t="str">
            <v>Data Certa Entregas</v>
          </cell>
          <cell r="C125" t="str">
            <v>03686915000190</v>
          </cell>
          <cell r="D125" t="str">
            <v>DATACERTA@DATACERTABRASIL.COM; gabardorj.cml1@transgabardo.com.br</v>
          </cell>
        </row>
        <row r="126">
          <cell r="A126" t="str">
            <v>09082724000104</v>
          </cell>
          <cell r="B126" t="str">
            <v>DCAN</v>
          </cell>
          <cell r="C126" t="str">
            <v>09082724000104</v>
          </cell>
          <cell r="D126" t="str">
            <v>BETO.SIQUEIRA@DCAN.COM.BR; logisticasp4@transgabardo.com.br</v>
          </cell>
        </row>
        <row r="127">
          <cell r="A127" t="str">
            <v>00502599000161</v>
          </cell>
          <cell r="B127" t="str">
            <v>De Castro Automoveis</v>
          </cell>
          <cell r="C127" t="str">
            <v>00502599000161</v>
          </cell>
          <cell r="D127" t="str">
            <v>financeiro@grupodecastro.com.br; atendimentopr@transgabardo.com.br</v>
          </cell>
        </row>
        <row r="128">
          <cell r="A128" t="str">
            <v>00685393000114</v>
          </cell>
          <cell r="B128" t="str">
            <v>Delcio Roque Roggiia</v>
          </cell>
          <cell r="C128" t="str">
            <v>00685393000114</v>
          </cell>
          <cell r="D128" t="str">
            <v>compras@roggia.com; comercialsp@transgabardo.com.br</v>
          </cell>
        </row>
        <row r="129">
          <cell r="A129" t="str">
            <v>09303312000149</v>
          </cell>
          <cell r="B129" t="str">
            <v>Deugro Brasil</v>
          </cell>
          <cell r="C129" t="str">
            <v>09303312000149</v>
          </cell>
          <cell r="D129" t="str">
            <v>marcio.visentini@deugro.com; gabardopreal4@transgabardo.com.br; gabardopreal3@transgabardo.com.br</v>
          </cell>
        </row>
        <row r="130">
          <cell r="A130" t="str">
            <v>26757376000210</v>
          </cell>
          <cell r="B130" t="str">
            <v>DF Maq - Bayeux</v>
          </cell>
          <cell r="C130" t="str">
            <v>26757376000210</v>
          </cell>
          <cell r="D130" t="str">
            <v>fernando.torre@dfmaq.com.br; gabardopreal4@transgabardo.com.br; financeiro.pb@dfmaq.com.br; gabardopreal3@transgabardo.com.br; rafaela@dafonte.com.br</v>
          </cell>
        </row>
        <row r="131">
          <cell r="A131" t="str">
            <v>26757376000309</v>
          </cell>
          <cell r="B131" t="str">
            <v>DF Maq - Fortaleza</v>
          </cell>
          <cell r="C131" t="str">
            <v>26757376000309</v>
          </cell>
          <cell r="D131" t="str">
            <v xml:space="preserve">poliane.torres@dfmaq.com.br; francisco@dfmaq.com.br; rafaela@dafonte.com.br; gabardopreal4@transgabardo.com.br; </v>
          </cell>
        </row>
        <row r="132">
          <cell r="A132" t="str">
            <v>26757376000139</v>
          </cell>
          <cell r="B132" t="str">
            <v>DF Maq - Mossoró</v>
          </cell>
          <cell r="C132" t="str">
            <v>26757376000139</v>
          </cell>
          <cell r="D132" t="str">
            <v xml:space="preserve">fernando.torre@dfmaq.com.br; rafaela@dafonte.com.br; financeiro@dfmaq.com.br; gabardopreal4@transgabardo.com.br; </v>
          </cell>
        </row>
        <row r="133">
          <cell r="A133" t="str">
            <v>24639624000111</v>
          </cell>
          <cell r="B133" t="str">
            <v>DIGILOQ</v>
          </cell>
          <cell r="C133" t="str">
            <v>24639624000111</v>
          </cell>
          <cell r="D133" t="str">
            <v>gabardosc@transgabardo.com.br; rodrigo@digiloq.com.br</v>
          </cell>
        </row>
        <row r="134">
          <cell r="A134" t="str">
            <v>15108924000183</v>
          </cell>
          <cell r="B134" t="str">
            <v>Dijon</v>
          </cell>
          <cell r="C134" t="str">
            <v>15108924000183</v>
          </cell>
          <cell r="D134" t="str">
            <v xml:space="preserve">operacional@transgabardo.com.br; </v>
          </cell>
        </row>
        <row r="135">
          <cell r="A135" t="str">
            <v>90576356000160</v>
          </cell>
          <cell r="B135" t="str">
            <v>Dipesul -  Canoas</v>
          </cell>
          <cell r="C135" t="str">
            <v>90576356000160</v>
          </cell>
          <cell r="D135" t="str">
            <v>bruna.borges@dipesul.com.br; diego.bittencourt@transgabardo.com.br</v>
          </cell>
        </row>
        <row r="136">
          <cell r="A136" t="str">
            <v>90576356001051</v>
          </cell>
          <cell r="B136" t="str">
            <v>Dipesul -  Ijuí</v>
          </cell>
          <cell r="C136" t="str">
            <v>90576356001051</v>
          </cell>
          <cell r="D136" t="str">
            <v>carine.frari@dipesul.com.br; diego.bittencourt@transgabardo.com.br; neusa.diesel@dipesul.com.br; priscila.oliveira@dipesul.com.br</v>
          </cell>
        </row>
        <row r="137">
          <cell r="A137" t="str">
            <v>90576356001132</v>
          </cell>
          <cell r="B137" t="str">
            <v>Dipesul - Passo Fundo</v>
          </cell>
          <cell r="C137" t="str">
            <v>90576356001132</v>
          </cell>
          <cell r="D137" t="str">
            <v>ires.moellmann@dipesul.com.br; diego.bittencourt@transgabardo.com.br</v>
          </cell>
        </row>
        <row r="138">
          <cell r="A138" t="str">
            <v>90576356001302</v>
          </cell>
          <cell r="B138" t="str">
            <v>Dipesul - Portão</v>
          </cell>
          <cell r="C138" t="str">
            <v>90576356001302</v>
          </cell>
          <cell r="D138" t="str">
            <v>diego.bittencourt@transgabardo.com.br; roselaine.santos@dipesul.com.br; ires.moellmann@dipesul.com.br</v>
          </cell>
        </row>
        <row r="139">
          <cell r="A139" t="str">
            <v>13375449000186</v>
          </cell>
          <cell r="B139" t="str">
            <v>Dist de Bebidas Heyder Cury</v>
          </cell>
          <cell r="C139" t="str">
            <v>13375449000186</v>
          </cell>
          <cell r="D139" t="str">
            <v>mayra.pocone@transrio.com.br; gabardopreal3@transgabardo.com.br; daniele.cardoso@transrio.com.br; gabardopreal4@transgabardo.com.br</v>
          </cell>
        </row>
        <row r="140">
          <cell r="A140" t="str">
            <v>05324072000108</v>
          </cell>
          <cell r="B140" t="str">
            <v>DORF KETAL BRASIL LTDA</v>
          </cell>
          <cell r="C140" t="str">
            <v>05324072000108</v>
          </cell>
          <cell r="D140" t="str">
            <v>recebimento@dorfketal.com; luizantonio@transgabardo.com.br</v>
          </cell>
        </row>
        <row r="141">
          <cell r="A141" t="str">
            <v>28883344000105</v>
          </cell>
          <cell r="B141" t="str">
            <v>D'Paula Logistica</v>
          </cell>
          <cell r="C141" t="str">
            <v>28883344000105</v>
          </cell>
          <cell r="D141" t="str">
            <v>dpaulatransportes.df@gmail.com; gabardopreal4@transgabardo.com.br; gabardopreal3@transgabardo.com.br</v>
          </cell>
        </row>
        <row r="142">
          <cell r="A142" t="str">
            <v>07439329000526</v>
          </cell>
          <cell r="B142" t="str">
            <v xml:space="preserve">DVT </v>
          </cell>
          <cell r="C142" t="str">
            <v>07439329000526</v>
          </cell>
          <cell r="D142" t="str">
            <v>clodoaldo.santos@danny.com.br; comercialsp@transgabardo.com.br</v>
          </cell>
        </row>
        <row r="143">
          <cell r="A143" t="str">
            <v>07689440000147</v>
          </cell>
          <cell r="B143" t="str">
            <v>EDUARDO BITTENCOURT JUNIOR</v>
          </cell>
          <cell r="C143" t="str">
            <v>07689440000147</v>
          </cell>
          <cell r="D143" t="str">
            <v xml:space="preserve">eduardo@dufer.com.br; milene.cariolato@transrio.com.br; </v>
          </cell>
        </row>
        <row r="144">
          <cell r="A144" t="str">
            <v>34836645000180</v>
          </cell>
          <cell r="B144" t="str">
            <v>Enebra Brasil</v>
          </cell>
          <cell r="C144" t="str">
            <v>34836645000180</v>
          </cell>
          <cell r="D144" t="str">
            <v>ADMINISTRATIVO@ENEBRA.COM.BR; bauer.machado@transgabardo.com.br; gabardopreal3@transgabardo.com.br; gabardopreal.fat3@transgabardo.com.br</v>
          </cell>
        </row>
        <row r="145">
          <cell r="A145" t="str">
            <v>01792153000181</v>
          </cell>
          <cell r="B145" t="str">
            <v>Engebio - Engenharia</v>
          </cell>
          <cell r="C145" t="str">
            <v>01792153000181</v>
          </cell>
          <cell r="D145" t="str">
            <v>FINANCEIRO@ENGEBIO.COM.BR; gabardorj.cml1@transgabardo.com.br</v>
          </cell>
        </row>
        <row r="146">
          <cell r="A146" t="str">
            <v>12494315000111</v>
          </cell>
          <cell r="B146" t="str">
            <v>Engesa</v>
          </cell>
          <cell r="C146" t="str">
            <v>12494315000111</v>
          </cell>
          <cell r="D146" t="str">
            <v xml:space="preserve">financeiro01@engesaengenharia.com.br; frota@engesaengenharia.com.br; comercial1@transgabardo.com.br; </v>
          </cell>
        </row>
        <row r="147">
          <cell r="A147" t="str">
            <v>80464753000197</v>
          </cell>
          <cell r="B147" t="str">
            <v>EQS - São José</v>
          </cell>
          <cell r="C147" t="str">
            <v>80464753000197</v>
          </cell>
          <cell r="D147" t="str">
            <v>frota@eqsengenharia.com.br; hugo@eqsengenharia.com.br; gabardosc@transgabardo.com.br</v>
          </cell>
        </row>
        <row r="148">
          <cell r="A148" t="str">
            <v>07485656000190</v>
          </cell>
          <cell r="B148" t="str">
            <v>Essencial Veículos</v>
          </cell>
          <cell r="C148" t="str">
            <v>07485656000190</v>
          </cell>
          <cell r="D148" t="str">
            <v>chico@moveisnovaarte.com.br; luizantonio@transgabardo.com.br</v>
          </cell>
        </row>
        <row r="149">
          <cell r="A149" t="str">
            <v>27451582001827</v>
          </cell>
          <cell r="B149" t="str">
            <v>Estel Serv Ind</v>
          </cell>
          <cell r="C149" t="str">
            <v>27451582001827</v>
          </cell>
          <cell r="D149" t="str">
            <v>igor.oliveira@estel.com.br; diego.bittencourt@transgabardo.com.br</v>
          </cell>
        </row>
        <row r="150">
          <cell r="A150" t="str">
            <v>27451582000189</v>
          </cell>
          <cell r="B150" t="str">
            <v>Estel Serv Ind</v>
          </cell>
          <cell r="C150" t="str">
            <v>27451582000189</v>
          </cell>
          <cell r="D150" t="str">
            <v>igor.oliveira@estel.com.br; diego.bittencourt@transgabardo.com.br</v>
          </cell>
        </row>
        <row r="151">
          <cell r="A151" t="str">
            <v>03193191000143</v>
          </cell>
          <cell r="B151" t="str">
            <v>ETC Empreendimentos</v>
          </cell>
          <cell r="C151" t="str">
            <v>03193191000143</v>
          </cell>
          <cell r="D151" t="str">
            <v xml:space="preserve">otavio.santos@etcterra.com.br; priscila.martins@transgabardo.com.br; josemar.silva@etcterra.com.br; marcos.barbosa@etcterra.com.br; walker.silva@etcterra.com.br; sara.alcantara@etcterra.com.br </v>
          </cell>
        </row>
        <row r="152">
          <cell r="A152" t="str">
            <v>26631473000180</v>
          </cell>
          <cell r="B152" t="str">
            <v xml:space="preserve">Etica </v>
          </cell>
          <cell r="C152" t="str">
            <v>26631473000180</v>
          </cell>
          <cell r="D152" t="str">
            <v>oscar.sousa@eticaconstrutora.com.br; comercialsp@transgabardo.com.br</v>
          </cell>
        </row>
        <row r="153">
          <cell r="A153" t="str">
            <v>14151695000117</v>
          </cell>
          <cell r="B153" t="str">
            <v>Eurovias</v>
          </cell>
          <cell r="C153" t="str">
            <v>14151695000117</v>
          </cell>
          <cell r="D153" t="str">
            <v>andrea.mallmann@eurovias.com.br; gabardopreal4@transgabardo.com.br; gabardopreal3@transgabardo.com.br;</v>
          </cell>
        </row>
        <row r="154">
          <cell r="A154" t="str">
            <v>13219740000246</v>
          </cell>
          <cell r="B154" t="str">
            <v>Fernandes Locadora</v>
          </cell>
          <cell r="C154" t="str">
            <v>13219740000246</v>
          </cell>
          <cell r="D154" t="str">
            <v>financeiro01@lopac.com.br; andre.costa@transgabardo.com.br;  gabardopreal4@transgabardo.com.br; gabardopreal3@transgabardo.com.br;</v>
          </cell>
        </row>
        <row r="155">
          <cell r="A155" t="str">
            <v>22200189000107</v>
          </cell>
          <cell r="B155" t="str">
            <v>Fukugauti &amp; Ussui</v>
          </cell>
          <cell r="C155" t="str">
            <v>22200189000107</v>
          </cell>
          <cell r="D155" t="str">
            <v>fernando_f_5@hotmail.com; gabardopreal4@transgabardo.com.br; gabardopreal.fat3@transgabardo.com.br; gabardopreal3@transgabardo.com.br</v>
          </cell>
        </row>
        <row r="156">
          <cell r="A156" t="str">
            <v>05448784000139</v>
          </cell>
          <cell r="B156" t="str">
            <v>Futura</v>
          </cell>
          <cell r="C156" t="str">
            <v>05448784000139</v>
          </cell>
          <cell r="D156" t="str">
            <v>rodrigoaureliano@futuracaminhoes.com.br; caroline@futuracaminhoes.com.br; gabardopreal4@transgabardo.com.br</v>
          </cell>
        </row>
        <row r="157">
          <cell r="A157" t="str">
            <v>20052016000236</v>
          </cell>
          <cell r="B157" t="str">
            <v>Gabardo e Laitano</v>
          </cell>
          <cell r="C157" t="str">
            <v>20052016000236</v>
          </cell>
          <cell r="D157" t="str">
            <v>operacional@transgabardo.com.br</v>
          </cell>
        </row>
        <row r="158">
          <cell r="A158" t="str">
            <v>47793413000134</v>
          </cell>
          <cell r="B158" t="str">
            <v>Gel Locações</v>
          </cell>
          <cell r="C158" t="str">
            <v>47793413000134</v>
          </cell>
          <cell r="D158" t="str">
            <v>CRISTIANO.GONSALVES@GEL-ENG.COM.BR; atendimentopr@transgabardo.com.br</v>
          </cell>
        </row>
        <row r="159">
          <cell r="A159" t="str">
            <v>24962131000118</v>
          </cell>
          <cell r="B159" t="str">
            <v>Gigante Equipamentos</v>
          </cell>
          <cell r="C159" t="str">
            <v>24962131000118</v>
          </cell>
          <cell r="D159" t="str">
            <v>financeiro@stcv.com.br; gabardopreal4@transgabardo.com.br; gabardopreal.fat3@transgabardo.com.br; gabardopreal3@transgabardo.com.br</v>
          </cell>
        </row>
        <row r="160">
          <cell r="A160" t="str">
            <v>27865757002148</v>
          </cell>
          <cell r="B160" t="str">
            <v>Globo Comunicações</v>
          </cell>
          <cell r="C160" t="str">
            <v>27865757002148</v>
          </cell>
          <cell r="D160" t="str">
            <v xml:space="preserve">ANDRE.PHILIPE@G.GLOBO; diego.bittencourt@transgabardo.com.br; </v>
          </cell>
        </row>
        <row r="161">
          <cell r="A161" t="str">
            <v>27692314000159</v>
          </cell>
          <cell r="B161" t="str">
            <v>GLS Brasil</v>
          </cell>
          <cell r="C161" t="str">
            <v>27692314000159</v>
          </cell>
          <cell r="D161" t="str">
            <v>aferraz@gls-gls.com; gabardopreal4@transgabardo.com.br; gabardopreal.fat3@transgabardo.com.br; gabardopreal3@transgabardo.com.br</v>
          </cell>
        </row>
        <row r="162">
          <cell r="A162" t="str">
            <v>02106825000110</v>
          </cell>
          <cell r="B162" t="str">
            <v>Grano</v>
          </cell>
          <cell r="C162" t="str">
            <v>02106825000110</v>
          </cell>
          <cell r="D162" t="str">
            <v>vitoria.triacca@grano.com.br; priscila.martins@transgabardo.com.br</v>
          </cell>
        </row>
        <row r="163">
          <cell r="A163" t="str">
            <v>41775027000133</v>
          </cell>
          <cell r="B163" t="str">
            <v>HLV Stone</v>
          </cell>
          <cell r="C163" t="str">
            <v>41775027000133</v>
          </cell>
          <cell r="D163" t="str">
            <v>hlvstones@gmail.com; comercial1@transgabardo.com.br</v>
          </cell>
        </row>
        <row r="164">
          <cell r="A164" t="str">
            <v>23341564000193</v>
          </cell>
          <cell r="B164" t="str">
            <v>Hozhoni Viagens e Turismo</v>
          </cell>
          <cell r="C164" t="str">
            <v>23341564000193</v>
          </cell>
          <cell r="D164" t="str">
            <v xml:space="preserve">financeiro@ventu.Com.br; jessica.vicente@transgabardo.com.br; </v>
          </cell>
        </row>
        <row r="165">
          <cell r="A165" t="str">
            <v>61037537001001</v>
          </cell>
          <cell r="B165" t="str">
            <v>HTB Engenharia</v>
          </cell>
          <cell r="C165" t="str">
            <v>61037537001001</v>
          </cell>
          <cell r="D165" t="str">
            <v xml:space="preserve">douglas.sousa@htb.eng.br; </v>
          </cell>
        </row>
        <row r="166">
          <cell r="A166" t="str">
            <v>10394422000576</v>
          </cell>
          <cell r="B166" t="str">
            <v>Hyundai Motors</v>
          </cell>
          <cell r="C166" t="str">
            <v>10394422000576</v>
          </cell>
          <cell r="D166" t="str">
            <v>catarina.carriao@Hyundai-Brasil.com; comercialsp@transgabardo.com.br; cobranca2@transgabardo.com.br</v>
          </cell>
        </row>
        <row r="167">
          <cell r="A167" t="str">
            <v>21379370000151</v>
          </cell>
          <cell r="B167" t="str">
            <v>Imara Motors</v>
          </cell>
          <cell r="C167" t="str">
            <v>21379370000151</v>
          </cell>
          <cell r="D167" t="str">
            <v>irmarafinanceiro@gmail.com; gabardorj.cml1@transgabardo.com.br</v>
          </cell>
        </row>
        <row r="168">
          <cell r="A168" t="str">
            <v>01650167000160</v>
          </cell>
          <cell r="B168" t="str">
            <v>Ita Empresas de Transportes</v>
          </cell>
          <cell r="C168" t="str">
            <v>01650167000160</v>
          </cell>
          <cell r="D168" t="str">
            <v>rafael.santana@itafrotas.com; logisticasp4@transgabardo.com.br</v>
          </cell>
        </row>
        <row r="169">
          <cell r="A169" t="str">
            <v>07639068000164</v>
          </cell>
          <cell r="B169" t="str">
            <v>J Milho Ind</v>
          </cell>
          <cell r="C169" t="str">
            <v>07639068000164</v>
          </cell>
          <cell r="D169" t="str">
            <v>mayra.pocone@transrio.com.br; gabardopreal3@transgabardo.com.br; daniele.cardoso@transrio.com.br; gabardopreal4@transgabardo.com.br; jmilho@itnet.com.br</v>
          </cell>
        </row>
        <row r="170">
          <cell r="A170" t="str">
            <v>32449022000120</v>
          </cell>
          <cell r="B170" t="str">
            <v>J. Bedin Incorp</v>
          </cell>
          <cell r="C170" t="str">
            <v>32449022000120</v>
          </cell>
          <cell r="D170" t="str">
            <v>grupobedin.financeiro@gmail.com; gabardopreal4@transgabardo.com.br; gabardopreal3@transgabardo.com.br</v>
          </cell>
        </row>
        <row r="171">
          <cell r="A171" t="str">
            <v>02635522000195</v>
          </cell>
          <cell r="B171" t="str">
            <v>Jalles Machado - Faz São Pedro</v>
          </cell>
          <cell r="C171" t="str">
            <v>02635522000195</v>
          </cell>
          <cell r="D171" t="str">
            <v>gustavo.porto@jallesmachado.com; tesouraria@jallesmachado.com; gabardopreal3@transgabardo.com.br; joao.victor@jallesmachado.com; gabardopreal4@transgabardo.com.br; logistica@jallesmachado.com</v>
          </cell>
        </row>
        <row r="172">
          <cell r="A172" t="str">
            <v>02635522004930</v>
          </cell>
          <cell r="B172" t="str">
            <v>Jalles Machado - Rodovia Go 338</v>
          </cell>
          <cell r="C172" t="str">
            <v>02635522004930</v>
          </cell>
          <cell r="D172" t="str">
            <v>gustavo.porto@jallesmachado.com; tesouraria@jallesmachado.com; gabardopreal3@transgabardo.com.br; joao.victor@jallesmachado.com; gabardopreal4@transgabardo.com.br; logistica@jallesmachado.com</v>
          </cell>
        </row>
        <row r="173">
          <cell r="A173" t="str">
            <v>74115692000150</v>
          </cell>
          <cell r="B173" t="str">
            <v>JM Empreendimentos</v>
          </cell>
          <cell r="C173" t="str">
            <v>74115692000150</v>
          </cell>
          <cell r="D173" t="str">
            <v>compras@jmempilhadeira.com.br; logisticasp4@transgabardo.com.br</v>
          </cell>
        </row>
        <row r="174">
          <cell r="A174" t="str">
            <v>52548435002546</v>
          </cell>
          <cell r="B174" t="str">
            <v>JSL - Aracruz</v>
          </cell>
          <cell r="C174" t="str">
            <v>52548435002546</v>
          </cell>
          <cell r="D174" t="str">
            <v>felipe.santos@grupovamos.com.br; gabardopreal4@transgabardo.com.br; gabardopreal3@transgabardo.com.br</v>
          </cell>
        </row>
        <row r="175">
          <cell r="A175" t="str">
            <v>52548435000411</v>
          </cell>
          <cell r="B175" t="str">
            <v>JSL - RJ</v>
          </cell>
          <cell r="C175" t="str">
            <v>52548435000411</v>
          </cell>
          <cell r="D175" t="str">
            <v>felipe.santos@grupovamos.com.br; gabardopreal4@transgabardo.com.br; gabardopreal3@transgabardo.com.br; maria.carolina@grupovamos.com.br</v>
          </cell>
        </row>
        <row r="176">
          <cell r="A176" t="str">
            <v>52548435021257</v>
          </cell>
          <cell r="B176" t="str">
            <v>JSL - São Mateus</v>
          </cell>
          <cell r="C176" t="str">
            <v>52548435021257</v>
          </cell>
          <cell r="D176" t="str">
            <v>armando.sijunior@jsl.com.br; diego.bittencourt@transgabardo.com.br</v>
          </cell>
        </row>
        <row r="177">
          <cell r="A177" t="str">
            <v>37617248000106</v>
          </cell>
          <cell r="B177" t="str">
            <v>K &amp; F</v>
          </cell>
          <cell r="C177" t="str">
            <v>37617248000106</v>
          </cell>
          <cell r="D177" t="str">
            <v>paulo@kfbaterias.com.br;  gabardopreal4@transgabardo.com.br; gabardopreal3@transgabardo.com.br;</v>
          </cell>
        </row>
        <row r="178">
          <cell r="A178" t="str">
            <v>00437889000179</v>
          </cell>
          <cell r="B178" t="str">
            <v>Kato &amp; Cia</v>
          </cell>
          <cell r="C178" t="str">
            <v>00437889000179</v>
          </cell>
          <cell r="D178" t="str">
            <v>katoecia@gmail.com; gabardopreal3@transgabardo.com.br; gabardopreal4@transgabardo.com.br;</v>
          </cell>
        </row>
        <row r="179">
          <cell r="A179" t="str">
            <v>15444617000173</v>
          </cell>
          <cell r="B179" t="str">
            <v>Kaumarc</v>
          </cell>
          <cell r="C179" t="str">
            <v>15444617000173</v>
          </cell>
          <cell r="D179" t="str">
            <v>Kaue.Kaumarc@gmail.com; gabardopreal4@transgabardo.com.br; gabardopreal.fat3@transgabardo.com.br; gabardopreal3@transgabardo.com.br</v>
          </cell>
        </row>
        <row r="180">
          <cell r="A180" t="str">
            <v>13062059000156</v>
          </cell>
          <cell r="B180" t="str">
            <v>KI DELICIA PRODUTOS ALIMENTICIOS</v>
          </cell>
          <cell r="C180" t="str">
            <v>13062059000156</v>
          </cell>
          <cell r="D180" t="str">
            <v>KIDELICIAPRODUTOS@GMAIL.COM; gabardopreal4@transgabardo.com.br</v>
          </cell>
        </row>
        <row r="181">
          <cell r="A181" t="str">
            <v>02771612000103</v>
          </cell>
          <cell r="B181" t="str">
            <v>KX Logistica</v>
          </cell>
          <cell r="C181" t="str">
            <v>02771612000103</v>
          </cell>
          <cell r="D181" t="str">
            <v>alexandre.silvestri@kxlog.com.br; gabardopreal4@transgabardo.com.br; gabardopreal.fat3@transgabardo.com.br; gabardopreal3@transgabardo.com.br</v>
          </cell>
        </row>
        <row r="182">
          <cell r="A182" t="str">
            <v>84684620000187</v>
          </cell>
          <cell r="B182" t="str">
            <v>Laboratório Catarinense</v>
          </cell>
          <cell r="C182" t="str">
            <v>84684620000187</v>
          </cell>
          <cell r="D182" t="str">
            <v>andre.h@catarinensepharma.com.br; diego.bittencourt@transgabardo.com.br</v>
          </cell>
        </row>
        <row r="183">
          <cell r="A183" t="str">
            <v>08882133000221</v>
          </cell>
          <cell r="B183" t="str">
            <v>LAC  WORLDWIDE</v>
          </cell>
          <cell r="C183" t="str">
            <v>08882133000221</v>
          </cell>
          <cell r="D183" t="str">
            <v>gisele.cardoso@lacww.com; doc@lacww.com; felipe.sellera@lacww.com; comercial1@transgabardo.com.br</v>
          </cell>
        </row>
        <row r="184">
          <cell r="A184" t="str">
            <v>04439268000185</v>
          </cell>
          <cell r="B184" t="str">
            <v>Laticinios Santa Maria</v>
          </cell>
          <cell r="C184" t="str">
            <v>04439268000185</v>
          </cell>
          <cell r="D184" t="str">
            <v>contasapagar2@natville.com.br; bauer.machado@transgabardo.com.br; mayra.pocone@transrio.com.br; daniele.cardoso@transrio.com.br; gabardopreal3@transgabardo.com.br</v>
          </cell>
        </row>
        <row r="185">
          <cell r="A185" t="str">
            <v>04427821000240</v>
          </cell>
          <cell r="B185" t="str">
            <v>Le Mans</v>
          </cell>
          <cell r="C185" t="str">
            <v>04427821000240</v>
          </cell>
          <cell r="D185" t="str">
            <v>adm.pir8@transgabardo.com.br; gvm@grupostefanini.com.br; pagar3@grupostefanini.com.br</v>
          </cell>
        </row>
        <row r="186">
          <cell r="A186" t="str">
            <v>00873894000124</v>
          </cell>
          <cell r="B186" t="str">
            <v>Lets Rent a Car</v>
          </cell>
          <cell r="C186" t="str">
            <v>00873894000124</v>
          </cell>
          <cell r="D186" t="str">
            <v>gabardoes@transgabardo.com.br; transporte.aquisicao@lets.com.br; transporte.seminovos@lets.com.br; comercialsp@transgabardo.com.br</v>
          </cell>
        </row>
        <row r="187">
          <cell r="A187" t="str">
            <v>00482840000138</v>
          </cell>
          <cell r="B187" t="str">
            <v>Liderança</v>
          </cell>
          <cell r="C187" t="str">
            <v>00482840000138</v>
          </cell>
          <cell r="D187" t="str">
            <v>gabardosc@transgabardo.com.br; natan.jacob@lideranca.com.br</v>
          </cell>
        </row>
        <row r="188">
          <cell r="A188" t="str">
            <v>84590900000126</v>
          </cell>
          <cell r="B188" t="str">
            <v>Limger</v>
          </cell>
          <cell r="C188" t="str">
            <v>84590900000126</v>
          </cell>
          <cell r="D188" t="str">
            <v>gabardosc@transgabardo.com.br; natan.jacob@lideranca.com.br</v>
          </cell>
        </row>
        <row r="189">
          <cell r="A189" t="str">
            <v>10364152000127</v>
          </cell>
          <cell r="B189" t="str">
            <v>Lince Seguranca</v>
          </cell>
          <cell r="C189" t="str">
            <v>10364152000127</v>
          </cell>
          <cell r="D189" t="str">
            <v>gabardosc@transgabardo.com.br; natan.jacob@lideranca.com.br</v>
          </cell>
        </row>
        <row r="190">
          <cell r="A190" t="str">
            <v>00389481003194</v>
          </cell>
          <cell r="B190" t="str">
            <v>LM Transporte - Porto Algre</v>
          </cell>
          <cell r="C190" t="str">
            <v>00389481003194</v>
          </cell>
          <cell r="D190" t="str">
            <v>breno.santos@lmfrotas.com.br; diego.bittencourt@transgabardo.com.br; nfelm@grupolm.com.br; nina.jesus@lmfrotas.com.br; sergio.portugal@lmfrotas.com.br</v>
          </cell>
        </row>
        <row r="191">
          <cell r="A191" t="str">
            <v>00389481000179</v>
          </cell>
          <cell r="B191" t="str">
            <v>LM Transporte - Salvador</v>
          </cell>
          <cell r="C191" t="str">
            <v>00389481000179</v>
          </cell>
          <cell r="D191" t="str">
            <v>breno.santos@lmfrotas.com.br; diego.bittencourt@transgabardo.com.br; nfelm@grupolm.com.br; nina.jesus@lmfrotas.com.br; sergio.portugal@lmfrotas.com.br</v>
          </cell>
        </row>
        <row r="192">
          <cell r="A192" t="str">
            <v>16670085000155</v>
          </cell>
          <cell r="B192" t="str">
            <v>LOCALIZA - BH</v>
          </cell>
          <cell r="C192" t="str">
            <v>16670085000155</v>
          </cell>
          <cell r="D192" t="str">
            <v>distribuicao@localiza.com; diego.bittencourt@transgabardo.com.br</v>
          </cell>
        </row>
        <row r="193">
          <cell r="A193" t="str">
            <v>37934168000184</v>
          </cell>
          <cell r="B193" t="str">
            <v>LOCAMILIA</v>
          </cell>
          <cell r="C193" t="str">
            <v>37934168000184</v>
          </cell>
          <cell r="D193" t="str">
            <v>edison.seraphim@grupocarloscunha.com.br; comercialsp@transgabardo.com.br; gabardopreal4@transgabardo.com.br; gabardopreal3@transgabardo.com.br;</v>
          </cell>
        </row>
        <row r="194">
          <cell r="A194" t="str">
            <v>02605978000102</v>
          </cell>
          <cell r="B194" t="str">
            <v>M A SAMPAIO</v>
          </cell>
          <cell r="C194" t="str">
            <v>02605978000102</v>
          </cell>
          <cell r="D194" t="str">
            <v>clini.marcio@hotmail.com; gabardopreal3@transgabardo.com.br; gabardopreal4@transgabardo.com.br</v>
          </cell>
        </row>
        <row r="195">
          <cell r="A195" t="str">
            <v>08296731000138</v>
          </cell>
          <cell r="B195" t="str">
            <v>M&amp;M</v>
          </cell>
          <cell r="C195" t="str">
            <v>08296731000138</v>
          </cell>
          <cell r="D195" t="str">
            <v>diego.bittencourt@transgabardo.com.br; leandro@emporioveiculos.com; mateus@emporioveiculos.com</v>
          </cell>
        </row>
        <row r="196">
          <cell r="A196" t="str">
            <v>29436104000125</v>
          </cell>
          <cell r="B196" t="str">
            <v>M4 Atacadista</v>
          </cell>
          <cell r="C196" t="str">
            <v>29436104000125</v>
          </cell>
          <cell r="D196" t="str">
            <v>mayra.pocone@transrio.com.br; gabardopreal3@transgabardo.com.br; daniele.cardoso@transrio.com.br; gabardopreal4@transgabardo.com.br</v>
          </cell>
        </row>
        <row r="197">
          <cell r="A197" t="str">
            <v>54382742000158</v>
          </cell>
          <cell r="B197" t="str">
            <v>MAGGI</v>
          </cell>
          <cell r="C197" t="str">
            <v>54382742000158</v>
          </cell>
          <cell r="D197" t="str">
            <v>gabardopreal4@transgabardo.com.br; gerentevendas.piracicaba@maggicaminhoes.com.br; gabardopreal3@transgabardo.com.br;  vendas.piracicaba@maggicaminhoes.com.br</v>
          </cell>
        </row>
        <row r="198">
          <cell r="A198" t="str">
            <v>04250224000293</v>
          </cell>
          <cell r="B198" t="str">
            <v>Maggi - Administradora</v>
          </cell>
          <cell r="C198" t="str">
            <v>04250224000293</v>
          </cell>
          <cell r="D198" t="str">
            <v>roberto.peixoto@admconsorcio.com.br; operacional@transgabardo.com.br</v>
          </cell>
        </row>
        <row r="199">
          <cell r="A199" t="str">
            <v>01118110000115</v>
          </cell>
          <cell r="B199" t="str">
            <v>MAGGI - Mobility</v>
          </cell>
          <cell r="C199" t="str">
            <v>01118110000115</v>
          </cell>
          <cell r="D199" t="str">
            <v>gabardopreal4@transgabardo.com.br; gerentevendas.piracicaba@maggicaminhoes.com.br; gabardopreal3@transgabardo.com.br;  vendas.piracicaba@maggicaminhoes.com.br</v>
          </cell>
        </row>
        <row r="200">
          <cell r="A200" t="str">
            <v>75813923000323</v>
          </cell>
          <cell r="B200" t="str">
            <v>MAGNABOSCO COMERCIO E TRANSPORTES</v>
          </cell>
          <cell r="C200" t="str">
            <v>75813923000323</v>
          </cell>
          <cell r="D200" t="str">
            <v>clodo@transmagnabosco.com.br; simone@gruponasa.com.br; gabardopreal4@transgabardo.com.br</v>
          </cell>
        </row>
        <row r="201">
          <cell r="A201" t="str">
            <v>03160100002974</v>
          </cell>
          <cell r="B201" t="str">
            <v>Mais Sabor</v>
          </cell>
          <cell r="C201" t="str">
            <v>03160100002974</v>
          </cell>
          <cell r="D201" t="str">
            <v>FINANCEIRO@MAISSABOR.IND.BR; gabardosc@transgabardo.com.br</v>
          </cell>
        </row>
        <row r="202">
          <cell r="A202" t="str">
            <v>01441496000100</v>
          </cell>
          <cell r="B202" t="str">
            <v>Malcon Capital</v>
          </cell>
          <cell r="C202" t="str">
            <v>01441496000100</v>
          </cell>
          <cell r="D202" t="str">
            <v>luciana@malcon.com.br; diego.bittencourt@transgabardo.com.br</v>
          </cell>
        </row>
        <row r="203">
          <cell r="A203" t="str">
            <v>02708090000367</v>
          </cell>
          <cell r="B203" t="str">
            <v xml:space="preserve">Mapamar </v>
          </cell>
          <cell r="C203" t="str">
            <v>02708090000367</v>
          </cell>
          <cell r="D203" t="str">
            <v>vitor@mapamar.com.br; comercial1@transgabardo.com.br</v>
          </cell>
        </row>
        <row r="204">
          <cell r="A204" t="str">
            <v>82862168815</v>
          </cell>
          <cell r="B204" t="str">
            <v>Marcio Renato Afonso</v>
          </cell>
          <cell r="C204" t="str">
            <v>82862168815</v>
          </cell>
          <cell r="D204" t="str">
            <v>MARCIO.ALFONSO@CAOAMONTADORA.COM.BR; comercialsp@transgabardo.com.br</v>
          </cell>
        </row>
        <row r="205">
          <cell r="A205" t="str">
            <v>02229174000156</v>
          </cell>
          <cell r="B205" t="str">
            <v>Mariana Transportes</v>
          </cell>
          <cell r="C205" t="str">
            <v>02229174000156</v>
          </cell>
          <cell r="D205" t="str">
            <v xml:space="preserve">MARIANATRANSPORTES.ADM@GMAIL.COM; gabardopreal4@transgabardo.com.br; gabardopreal3@transgabardo.com.br; gabardopreal.fat3@transgabardo.com.br; </v>
          </cell>
        </row>
        <row r="206">
          <cell r="A206" t="str">
            <v>01163681000171</v>
          </cell>
          <cell r="B206" t="str">
            <v>Marmoaria Soares</v>
          </cell>
          <cell r="C206" t="str">
            <v>01163681000171</v>
          </cell>
          <cell r="D206" t="str">
            <v>assiria.soares@gmail.com; odair@tecchio.com.br; comercial1@transgabardo.com.br</v>
          </cell>
        </row>
        <row r="207">
          <cell r="A207" t="str">
            <v>08348916000149</v>
          </cell>
          <cell r="B207" t="str">
            <v xml:space="preserve">MASTER TRANSP E SERV </v>
          </cell>
          <cell r="C207" t="str">
            <v>08348916000149</v>
          </cell>
          <cell r="D207" t="str">
            <v>renata.araujo@gruponasa.com.br; aceliostirma@yahoo.com.br; gabardopreal4@transgabardo.com.br</v>
          </cell>
        </row>
        <row r="208">
          <cell r="A208" t="str">
            <v>32225388000115</v>
          </cell>
          <cell r="B208" t="str">
            <v>Mattana Veiculos</v>
          </cell>
          <cell r="C208" t="str">
            <v>32225388000115</v>
          </cell>
          <cell r="D208" t="str">
            <v>vendas.bus@mattanaveiculos.com.br; luizantonio@transgabardo.com.br; LICITACOES@MATTANAVEICULOS.COM.BR</v>
          </cell>
        </row>
        <row r="209">
          <cell r="A209" t="str">
            <v>97192926000168</v>
          </cell>
          <cell r="B209" t="str">
            <v>Mattos Com Pec e Aces</v>
          </cell>
          <cell r="C209" t="str">
            <v>97192926000168</v>
          </cell>
          <cell r="D209" t="str">
            <v>lidertransporttes@gmail.com; gabardopreal3@transgabardo.com.br; gabardopreal4@transgabardo.com.br; milene.cariolato@transrio.com.br</v>
          </cell>
        </row>
        <row r="210">
          <cell r="A210" t="str">
            <v>02677635000153</v>
          </cell>
          <cell r="B210" t="str">
            <v>Maxigas</v>
          </cell>
          <cell r="C210" t="str">
            <v>02677635000153</v>
          </cell>
          <cell r="D210" t="str">
            <v>mayra.pocone@transrio.com.br; gabardopreal3@transgabardo.com.br; daniele.cardoso@transrio.com.br; gabardopreal4@transgabardo.com.br</v>
          </cell>
        </row>
        <row r="211">
          <cell r="A211" t="str">
            <v>07620879000466</v>
          </cell>
          <cell r="B211" t="str">
            <v>MCN Transportes</v>
          </cell>
          <cell r="C211" t="str">
            <v>07620879000466</v>
          </cell>
          <cell r="D211" t="str">
            <v>luciano@macenor.com; diego.bittencourt@transgabardo.com.br</v>
          </cell>
        </row>
        <row r="212">
          <cell r="A212" t="str">
            <v>95422218001031</v>
          </cell>
          <cell r="B212" t="str">
            <v>Metalúrgica  Mor</v>
          </cell>
          <cell r="C212" t="str">
            <v>95422218001031</v>
          </cell>
          <cell r="D212" t="str">
            <v>marco@mor.com.br; fabiane@mor.com.br; luizantonio@transgabardo.com.br</v>
          </cell>
        </row>
        <row r="213">
          <cell r="A213" t="str">
            <v>19511358000107</v>
          </cell>
          <cell r="B213" t="str">
            <v>MF Motors</v>
          </cell>
          <cell r="C213" t="str">
            <v>19511358000107</v>
          </cell>
          <cell r="D213" t="str">
            <v>tarcisio@mfmotors.com.br; gabardoes@transgabardo.com.br</v>
          </cell>
        </row>
        <row r="214">
          <cell r="A214" t="str">
            <v>45912210000194</v>
          </cell>
          <cell r="B214" t="str">
            <v>Mileto Tech</v>
          </cell>
          <cell r="C214" t="str">
            <v>45912210000194</v>
          </cell>
          <cell r="D214" t="str">
            <v>felipe@mileto.one; bauer.machado@transgabardo.com.br; gabardopreal3@transgabardo.com.br; gabardopreal.fat3@transgabardo.com.br</v>
          </cell>
        </row>
        <row r="215">
          <cell r="A215" t="str">
            <v>07075244000182</v>
          </cell>
          <cell r="B215" t="str">
            <v>Mineração Araguaia</v>
          </cell>
          <cell r="C215" t="str">
            <v>07075244000182</v>
          </cell>
          <cell r="D215" t="str">
            <v>logisticasp4@transgabardo.com.br; Thiago@calizacalcario.com.br;
 Alex@calizacalcario.com.br</v>
          </cell>
        </row>
        <row r="216">
          <cell r="A216" t="str">
            <v>92249150000151</v>
          </cell>
          <cell r="B216" t="str">
            <v>Mitren-Sistemas</v>
          </cell>
          <cell r="C216" t="str">
            <v>92249150000151</v>
          </cell>
          <cell r="D216" t="str">
            <v>leonel@mitren.com.br;  luizantonio@transgabardo.com.br</v>
          </cell>
        </row>
        <row r="217">
          <cell r="A217" t="str">
            <v>02412265000122</v>
          </cell>
          <cell r="B217" t="str">
            <v>Mitsuauto</v>
          </cell>
          <cell r="C217" t="str">
            <v>02412265000122</v>
          </cell>
          <cell r="D217" t="str">
            <v>KCE2011@LIVE.COM; logisticasp4@transgabardo.com.br</v>
          </cell>
        </row>
        <row r="218">
          <cell r="A218" t="str">
            <v>35208086000127</v>
          </cell>
          <cell r="B218" t="str">
            <v>Mobiliza For Rent</v>
          </cell>
          <cell r="C218" t="str">
            <v>35208086000127</v>
          </cell>
          <cell r="D218" t="str">
            <v>MARCELO@CARLEX.COM.BR; gabardopreal3@transgabardo.com.br; gabardopreal.fat3@transgabardo.com.br</v>
          </cell>
        </row>
        <row r="219">
          <cell r="A219" t="str">
            <v>88009030000100</v>
          </cell>
          <cell r="B219" t="str">
            <v>Modular Transportes</v>
          </cell>
          <cell r="C219" t="str">
            <v>88009030000100</v>
          </cell>
          <cell r="D219" t="str">
            <v>compras.corporativo@modular.com.br; renato.melo@modular.com.br; milene.cariolato@transrio.com.br; gabardopreal4@transgabardo.com.br; gabardopreal3@transgabardo.com.br</v>
          </cell>
        </row>
        <row r="220">
          <cell r="A220" t="str">
            <v>35315759000148</v>
          </cell>
          <cell r="B220" t="str">
            <v xml:space="preserve">Morano </v>
          </cell>
          <cell r="C220" t="str">
            <v>35315759000148</v>
          </cell>
          <cell r="D220" t="str">
            <v>operacional@transgabardo.com.br</v>
          </cell>
        </row>
        <row r="221">
          <cell r="A221" t="str">
            <v>30166415000109</v>
          </cell>
          <cell r="B221" t="str">
            <v xml:space="preserve">MPGI </v>
          </cell>
          <cell r="C221" t="str">
            <v>30166415000109</v>
          </cell>
          <cell r="D221" t="str">
            <v>Junior@mamede.com.br;  atendimentopr@transgabardo.com.br; andre.costa@transgabardo.com.br</v>
          </cell>
        </row>
        <row r="222">
          <cell r="A222" t="str">
            <v>34832252000107</v>
          </cell>
          <cell r="B222" t="str">
            <v>MS Transportes</v>
          </cell>
          <cell r="C222" t="str">
            <v>34832252000107</v>
          </cell>
          <cell r="D222" t="str">
            <v>LAELSON@MEGGADISTRIBUIDORA.COM.BR; FROTA@MEGGADISTRIBUIDORA.COM.BR; mayra.pocone@transrio.com.br; gabardopreal3@transgabardo.com.br; daniele.cardoso@transrio.com.br; gabardopreal4@transgabardo.com.br</v>
          </cell>
        </row>
        <row r="223">
          <cell r="A223" t="str">
            <v>33532342000101</v>
          </cell>
          <cell r="B223" t="str">
            <v>NASA - Brasília</v>
          </cell>
          <cell r="C223" t="str">
            <v>33532342000101</v>
          </cell>
          <cell r="D223" t="str">
            <v>adriana.dantas@gruponasa.com.br; sandra.helena@gruponasa.com.br; sheila.vieira@gruponasa.com.br; gabardopreal4@transgabardo.com.br;</v>
          </cell>
        </row>
        <row r="224">
          <cell r="A224" t="str">
            <v>33532342000292</v>
          </cell>
          <cell r="B224" t="str">
            <v>NASA - Rio Verde</v>
          </cell>
          <cell r="C224" t="str">
            <v>33532342000292</v>
          </cell>
          <cell r="D224" t="str">
            <v>rhrvd@gruponasa.com.br; gabardopreal4@transgabardo.com.br; renata.araujo@gruponasa.com.br</v>
          </cell>
        </row>
        <row r="225">
          <cell r="A225" t="str">
            <v>11042071000254</v>
          </cell>
          <cell r="B225" t="str">
            <v>Nicolas Silva e Santos &amp; CIA</v>
          </cell>
          <cell r="C225" t="str">
            <v>11042071000254</v>
          </cell>
          <cell r="D225" t="str">
            <v>mayra.pocone@transrio.com.br; gabardopreal3@transgabardo.com.br; daniele.cardoso@transrio.com.br; gabardopreal4@transgabardo.com.br; cooper.auto@hotmail.com</v>
          </cell>
        </row>
        <row r="226">
          <cell r="A226" t="str">
            <v>35399077000160</v>
          </cell>
          <cell r="B226" t="str">
            <v>Nisa Motors</v>
          </cell>
          <cell r="C226" t="str">
            <v>35399077000160</v>
          </cell>
          <cell r="D226" t="str">
            <v>vendas16@nisahyundai.com.br; comercialsp@transgabardo.com.br</v>
          </cell>
        </row>
        <row r="227">
          <cell r="A227" t="str">
            <v>34733771000100</v>
          </cell>
          <cell r="B227" t="str">
            <v>Nobre BR Dist</v>
          </cell>
          <cell r="C227" t="str">
            <v>34733771000100</v>
          </cell>
          <cell r="D227" t="str">
            <v>paula@grupofaberge.com; comercialsp@transgabardo.com.br</v>
          </cell>
        </row>
        <row r="228">
          <cell r="A228" t="str">
            <v>34301255000106</v>
          </cell>
          <cell r="B228" t="str">
            <v>Nobre Comercio de Veiculos</v>
          </cell>
          <cell r="C228" t="str">
            <v>34301255000106</v>
          </cell>
          <cell r="D228" t="str">
            <v>paula@grupofaberge.com; comercialsp@transgabardo.com.br; viviane.dias@grupofaberge.com.br</v>
          </cell>
        </row>
        <row r="229">
          <cell r="A229" t="str">
            <v>36519422000204</v>
          </cell>
          <cell r="B229" t="str">
            <v>On-Highway Brasil</v>
          </cell>
          <cell r="C229" t="str">
            <v>36519422000204</v>
          </cell>
          <cell r="D229" t="str">
            <v>maria.s.pereira@ivecogroup.com; atendimentopr@transgabardo.com.br; gabriel.chaves@transgabardo.com.br; andre.costa@transgabardo.com.br</v>
          </cell>
        </row>
        <row r="230">
          <cell r="A230" t="str">
            <v>88916135000142</v>
          </cell>
          <cell r="B230" t="str">
            <v>Opus</v>
          </cell>
          <cell r="C230" t="str">
            <v>88916135000142</v>
          </cell>
          <cell r="D230" t="str">
            <v>relacionamento@24h7d.com.br; diego.bittencourt@transgabardo.com.br</v>
          </cell>
        </row>
        <row r="231">
          <cell r="A231" t="str">
            <v>07191228002018</v>
          </cell>
          <cell r="B231" t="str">
            <v>Ouro Safra</v>
          </cell>
          <cell r="C231" t="str">
            <v>07191228002018</v>
          </cell>
          <cell r="D231" t="str">
            <v>ale-dsilva@hotmail.com;  gabardopreal4@transgabardo.com.br; gabardopreal3@transgabardo.com.br;</v>
          </cell>
        </row>
        <row r="232">
          <cell r="A232" t="str">
            <v>51784262000125</v>
          </cell>
          <cell r="B232" t="str">
            <v>Peroxidos do Brasil</v>
          </cell>
          <cell r="C232" t="str">
            <v>51784262000125</v>
          </cell>
          <cell r="D232" t="str">
            <v>luan.lacerda@solvay.com; diego.bittencourt@transgabardo.com.br</v>
          </cell>
        </row>
        <row r="233">
          <cell r="A233" t="str">
            <v>02049032000107</v>
          </cell>
          <cell r="B233" t="str">
            <v>PHD Guindastes</v>
          </cell>
          <cell r="C233" t="str">
            <v>02049032000107</v>
          </cell>
          <cell r="D233" t="str">
            <v>financeiro@phdguindastes.ind.br; gabardopreal4@transgabardo.com.br; gabardopreal.fat3@transgabardo.com.br; gabardopreal3@transgabardo.com.br</v>
          </cell>
        </row>
        <row r="234">
          <cell r="A234" t="str">
            <v>22899303000120</v>
          </cell>
          <cell r="B234" t="str">
            <v>Phoenix do Pecem Ind Serv</v>
          </cell>
          <cell r="C234" t="str">
            <v>22899303000120</v>
          </cell>
          <cell r="D234" t="str">
            <v>beatriz.barbosa@phoenix-services.com; gabardopreal4@transgabardo.com.br; gabardopreal.fat3@transgabardo.com.br; gabardopreal3@transgabardo.com.br</v>
          </cell>
        </row>
        <row r="235">
          <cell r="A235" t="str">
            <v>07118669000121</v>
          </cell>
          <cell r="B235" t="str">
            <v>Pisotech Revestimentos</v>
          </cell>
          <cell r="C235" t="str">
            <v>07118669000121</v>
          </cell>
          <cell r="D235" t="str">
            <v>rafael@pisotech.com.br; comercial1@transgabardo.com.br</v>
          </cell>
        </row>
        <row r="236">
          <cell r="A236" t="str">
            <v>37021136000198</v>
          </cell>
          <cell r="B236" t="str">
            <v>Planalto Ind Mecanica</v>
          </cell>
          <cell r="C236" t="str">
            <v>37021136000198</v>
          </cell>
          <cell r="D236" t="str">
            <v>romulo@planaltoindustria.com.br; gabardopreal4@transgabardo.com.br; gabardopreal.fat3@transgabardo.com.br; gabardopreal3@transgabardo.com.br</v>
          </cell>
        </row>
        <row r="237">
          <cell r="A237" t="str">
            <v>22615291000165</v>
          </cell>
          <cell r="B237" t="str">
            <v>Planeng</v>
          </cell>
          <cell r="C237" t="str">
            <v>22615291000165</v>
          </cell>
          <cell r="D237" t="str">
            <v>camila.planeng@gmail.com; diego.bittencourt@transgabardo.com.br</v>
          </cell>
        </row>
        <row r="238">
          <cell r="A238" t="str">
            <v>25055534000146</v>
          </cell>
          <cell r="B238" t="str">
            <v>Posse Super Posto</v>
          </cell>
          <cell r="C238" t="str">
            <v>25055534000146</v>
          </cell>
          <cell r="D238" t="str">
            <v>trrfrota@hotmail.com; gabardopreal4@transgabardo.com.br; gabardopreal3@transgabardo.com.br</v>
          </cell>
        </row>
        <row r="239">
          <cell r="A239" t="str">
            <v>06050724000126</v>
          </cell>
          <cell r="B239" t="str">
            <v>Posto Moreira</v>
          </cell>
          <cell r="C239" t="str">
            <v>06050724000126</v>
          </cell>
          <cell r="D239" t="str">
            <v>trrfrota@hotmail.com; gabardopreal4@transgabardo.com.br; gabardopreal3@transgabardo.com.br</v>
          </cell>
        </row>
        <row r="240">
          <cell r="A240" t="str">
            <v>68639251000154</v>
          </cell>
          <cell r="B240" t="str">
            <v>Premium Rio Veículos</v>
          </cell>
          <cell r="C240" t="str">
            <v>68639251000154</v>
          </cell>
          <cell r="D240" t="str">
            <v>denis.costa@landrio.com.br; diego.bittencourt@transgabardo.com.br; cap@landrio.com.br</v>
          </cell>
        </row>
        <row r="241">
          <cell r="A241" t="str">
            <v>15250148000151</v>
          </cell>
          <cell r="B241" t="str">
            <v>PRF Vist. E Sol.</v>
          </cell>
          <cell r="C241" t="str">
            <v>15250148000151</v>
          </cell>
          <cell r="D241" t="str">
            <v>FABIOLA.BALENA@PITSTOPVISTORIAS.COM.BR; jessica.vicente@transgabardo.com.br</v>
          </cell>
        </row>
        <row r="242">
          <cell r="A242" t="str">
            <v>09527013000198</v>
          </cell>
          <cell r="B242" t="str">
            <v>Ramac</v>
          </cell>
          <cell r="C242" t="str">
            <v>09527013000198</v>
          </cell>
          <cell r="D242" t="str">
            <v>alexandre@ramacservicos.com.br; mayra.pocone@transrio.com.br; gabardopreal3@transgabardo.com.br; daniele.cardoso@transrio.com.br; gabardopreal4@transgabardo.com.br</v>
          </cell>
        </row>
        <row r="243">
          <cell r="A243" t="str">
            <v>87137592000176</v>
          </cell>
          <cell r="B243" t="str">
            <v>Ramada Veiculos</v>
          </cell>
          <cell r="C243" t="str">
            <v>87137592000176</v>
          </cell>
          <cell r="D243" t="str">
            <v>fabiano@ramada.poa.br; luizantonio@transgabardo.com.br</v>
          </cell>
        </row>
        <row r="244">
          <cell r="A244" t="str">
            <v>02590088000174</v>
          </cell>
          <cell r="B244" t="str">
            <v>Rapido Justo</v>
          </cell>
          <cell r="C244" t="str">
            <v>02590088000174</v>
          </cell>
          <cell r="D244" t="str">
            <v>eduardo@rapidojusto.com.br; priscila.martins@transgabardo.com.br</v>
          </cell>
        </row>
        <row r="245">
          <cell r="A245" t="str">
            <v>05533482000169</v>
          </cell>
          <cell r="B245" t="str">
            <v>Realmix Concreto</v>
          </cell>
          <cell r="C245" t="str">
            <v>05533482000169</v>
          </cell>
          <cell r="D245" t="str">
            <v>financeiro2@realmixconcreto.com.br; gabardopreal4@transgabardo.com.br; gabardopreal3@transgabardo.com.br; gabardopreal.fat3@transgabardo.com.br</v>
          </cell>
        </row>
        <row r="246">
          <cell r="A246" t="str">
            <v>03260158000199</v>
          </cell>
          <cell r="B246" t="str">
            <v>Reavel</v>
          </cell>
          <cell r="C246" t="str">
            <v>03260158000199</v>
          </cell>
          <cell r="D246" t="str">
            <v>Vendas20@reavel.com.br;  gabardopreal4@transgabardo.com.br; gabardopreal3@transgabardo.com.br;</v>
          </cell>
        </row>
        <row r="247">
          <cell r="A247" t="str">
            <v>10466983000100</v>
          </cell>
          <cell r="B247" t="str">
            <v>Reiter</v>
          </cell>
          <cell r="C247" t="str">
            <v>10466983000100</v>
          </cell>
          <cell r="D247" t="str">
            <v>carlos.fonseca@reiterlog.com; nfe.manutencao@reiterlog.com; jayne.macedo@reiterlog.com; luciano.almeida@reiterlog.com; diego.bittencourt@transgabardo.com.br</v>
          </cell>
        </row>
        <row r="248">
          <cell r="A248" t="str">
            <v>92795368000101</v>
          </cell>
          <cell r="B248" t="str">
            <v>Reitz Ind. Mec.</v>
          </cell>
          <cell r="C248" t="str">
            <v>92795368000101</v>
          </cell>
          <cell r="D248" t="str">
            <v>gerente10@reitz.com.br; comercial1@transgabardo.com.br</v>
          </cell>
        </row>
        <row r="249">
          <cell r="A249" t="str">
            <v>79913802000142</v>
          </cell>
          <cell r="B249" t="str">
            <v>Repecon Veiculos</v>
          </cell>
          <cell r="C249" t="str">
            <v>79913802000142</v>
          </cell>
          <cell r="D249" t="str">
            <v>BERNARDO.SAMPAIO@GRUPOAUTOMEGA.COM.BR; gabardosc@transgabardo.com.br</v>
          </cell>
        </row>
        <row r="250">
          <cell r="A250" t="str">
            <v>08996679000122</v>
          </cell>
          <cell r="B250" t="str">
            <v>Resen Munck</v>
          </cell>
          <cell r="C250" t="str">
            <v>08996679000122</v>
          </cell>
          <cell r="D250" t="str">
            <v>financeiro@resenmunck.com.br; JO.SALAZAR@RESENMUCK.COM.BR; gabardopreal4@transgabardo.com.br;  gabardopreal3@transgabardo.com.br; gabardopreal.fat3@transgabardo.com.br</v>
          </cell>
        </row>
        <row r="251">
          <cell r="A251" t="str">
            <v>10488606000171</v>
          </cell>
          <cell r="B251" t="str">
            <v>Rio Claro Engenharia</v>
          </cell>
          <cell r="C251" t="str">
            <v>10488606000171</v>
          </cell>
          <cell r="D251" t="str">
            <v>administracao@concretosrioclaro.com.br; gabardopreal4@transgabardo.com.br; gabardopreal3@transgabardo.com.br; gabardopreal.fat3@transgabardo.com.br</v>
          </cell>
        </row>
        <row r="252">
          <cell r="A252" t="str">
            <v>26263910000150</v>
          </cell>
          <cell r="B252" t="str">
            <v>Rio Sena</v>
          </cell>
          <cell r="C252" t="str">
            <v>26263910000150</v>
          </cell>
          <cell r="D252" t="str">
            <v>gestorvendasdiretas@renaultriosena.com.br; gabardorj.cml1@transgabardo.com.br</v>
          </cell>
        </row>
        <row r="253">
          <cell r="A253" t="str">
            <v>90286139000136</v>
          </cell>
          <cell r="B253" t="str">
            <v>Ritter Alimentos</v>
          </cell>
          <cell r="C253" t="str">
            <v>90286139000136</v>
          </cell>
          <cell r="D253" t="str">
            <v>jones.souza@ritter.com.br;  luizantonio@transgabardo.com.br</v>
          </cell>
        </row>
        <row r="254">
          <cell r="A254" t="str">
            <v>65993453003984</v>
          </cell>
          <cell r="B254" t="str">
            <v>Rodobens</v>
          </cell>
          <cell r="C254" t="str">
            <v>65993453003984</v>
          </cell>
          <cell r="D254" t="str">
            <v>sebastiao.carvalho@rodobens.com.br; jessica.vicente@transgabardo.com.br</v>
          </cell>
        </row>
        <row r="255">
          <cell r="A255" t="str">
            <v>22032781000139</v>
          </cell>
          <cell r="B255" t="str">
            <v>Rodogyn Log</v>
          </cell>
          <cell r="C255" t="str">
            <v>22032781000139</v>
          </cell>
          <cell r="D255" t="str">
            <v>peter@rodogyn.com.br; logisticasp4@transgabardo.com.br</v>
          </cell>
        </row>
        <row r="256">
          <cell r="A256" t="str">
            <v>11370217000100</v>
          </cell>
          <cell r="B256" t="str">
            <v>Rodrigues e Schmitz</v>
          </cell>
          <cell r="C256" t="str">
            <v>11370217000100</v>
          </cell>
          <cell r="D256" t="str">
            <v>edencarmultimarcas@gmail.com; comercial1@transgabardo.com.br</v>
          </cell>
        </row>
        <row r="257">
          <cell r="A257" t="str">
            <v>11884730000119</v>
          </cell>
          <cell r="B257" t="str">
            <v>RT Caminhões</v>
          </cell>
          <cell r="C257" t="str">
            <v>11884730000119</v>
          </cell>
          <cell r="D257" t="str">
            <v>financeiro@rtcaminhoes.com.br; gabardopreal4@transgabardo.com.br; gabardopreal3@transgabardo.com.br</v>
          </cell>
        </row>
        <row r="258">
          <cell r="A258" t="str">
            <v>41200164000140</v>
          </cell>
          <cell r="B258" t="str">
            <v>RVM Importações</v>
          </cell>
          <cell r="C258" t="str">
            <v>41200164000140</v>
          </cell>
          <cell r="D258" t="str">
            <v>rogertabata@me.com; rvmbrazil@gmail.com; jessica.vicente@transgabardo.com.br</v>
          </cell>
        </row>
        <row r="259">
          <cell r="A259" t="str">
            <v>14055256000100</v>
          </cell>
          <cell r="B259" t="str">
            <v>S R Romanelli</v>
          </cell>
          <cell r="C259" t="str">
            <v>14055256000100</v>
          </cell>
          <cell r="D259" t="str">
            <v>vendas2@srequipamentos.com.br; financeiro@srequipamentos.com.br; jessica.vicente@transgabardo.com.br</v>
          </cell>
        </row>
        <row r="260">
          <cell r="A260" t="str">
            <v>92659507000170</v>
          </cell>
          <cell r="B260" t="str">
            <v>S&amp;P Brasil</v>
          </cell>
          <cell r="C260" t="str">
            <v>92659507000170</v>
          </cell>
          <cell r="D260" t="str">
            <v>ecostaesilva@solerpalau.com; comercial1@transgabardo.com.br</v>
          </cell>
        </row>
        <row r="261">
          <cell r="A261" t="str">
            <v>01564322000630</v>
          </cell>
          <cell r="B261" t="str">
            <v>Sabor e Art</v>
          </cell>
          <cell r="C261" t="str">
            <v>01564322000630</v>
          </cell>
          <cell r="D261" t="str">
            <v>FINANCEIRO@MAISSABOR.IND.BR; gabardosc@transgabardo.com.br</v>
          </cell>
        </row>
        <row r="262">
          <cell r="A262" t="str">
            <v>07407490000194</v>
          </cell>
          <cell r="B262" t="str">
            <v>Sama Transportes</v>
          </cell>
          <cell r="C262" t="str">
            <v>07407490000194</v>
          </cell>
          <cell r="D262" t="str">
            <v>renata.araujo@gruponasa.com.br; SAMATRANSPORTES@GMAIL.COM; gabardopreal.fat3@transgabardo.com.br; gabardopreal3@transgabardo.com.br; bauer.machado@transgabardo.com.br</v>
          </cell>
        </row>
        <row r="263">
          <cell r="A263" t="str">
            <v>54921580000340</v>
          </cell>
          <cell r="B263" t="str">
            <v>SANTA EMÍLIA - Franca</v>
          </cell>
          <cell r="C263" t="str">
            <v>54921580000340</v>
          </cell>
          <cell r="D263" t="str">
            <v>admvendas@santaemiliacaminhoes.com.br; alessandra.correa@santaemiliaman.com.br; gabardopreal4@transgabardo.com.br; priscila.piovani@santaemiliacaminhoes.com.br; yuri.soares@santaemiliacaminhoes.com.br</v>
          </cell>
        </row>
        <row r="264">
          <cell r="A264" t="str">
            <v>54921580000189</v>
          </cell>
          <cell r="B264" t="str">
            <v>SANTA EMÍLIA - Ribeirão Preto</v>
          </cell>
          <cell r="C264" t="str">
            <v>54921580000189</v>
          </cell>
          <cell r="D264" t="str">
            <v>admvendas@santaemiliacaminhoes.com.br; alessandra.correa@santaemiliaman.com.br; gabardopreal4@transgabardo.com.br; priscila.piovani@santaemiliacaminhoes.com.br; yuri.soares@santaemiliacaminhoes.com.br</v>
          </cell>
        </row>
        <row r="265">
          <cell r="A265" t="str">
            <v>05210259000342</v>
          </cell>
          <cell r="B265" t="str">
            <v>Santa Paulina Strasbourg</v>
          </cell>
          <cell r="C265" t="str">
            <v>05210259000342</v>
          </cell>
          <cell r="D265" t="str">
            <v>julia.schmitt@strasbourg.com.br; gabardopreal4@transgabardo.com.br; gabardopreal3@transgabardo.com.br;</v>
          </cell>
        </row>
        <row r="266">
          <cell r="A266" t="str">
            <v>05210259000180</v>
          </cell>
          <cell r="B266" t="str">
            <v>Santa Paulina Strasbourg - Blumenau</v>
          </cell>
          <cell r="C266" t="str">
            <v>05210259000180</v>
          </cell>
          <cell r="D266" t="str">
            <v>julia.schmitt@strasbourg.com.br; gabardopreal4@transgabardo.com.br; gabardopreal3@transgabardo.com.br;</v>
          </cell>
        </row>
        <row r="267">
          <cell r="A267" t="str">
            <v>05210259000261</v>
          </cell>
          <cell r="B267" t="str">
            <v>Santa Paulina Strasbourg - Itajaí</v>
          </cell>
          <cell r="C267" t="str">
            <v>05210259000261</v>
          </cell>
          <cell r="D267" t="str">
            <v>julia.schmitt@strasbourg.com.br; gabardopreal4@transgabardo.com.br; gabardopreal3@transgabardo.com.br;</v>
          </cell>
        </row>
        <row r="268">
          <cell r="A268" t="str">
            <v>05210259000695</v>
          </cell>
          <cell r="B268" t="str">
            <v>Santa Paulina Strasbourg - Jaraguá do Sul</v>
          </cell>
          <cell r="C268" t="str">
            <v>05210259000695</v>
          </cell>
          <cell r="D268" t="str">
            <v>julia.schmitt@strasbourg.com.br; gabardopreal4@transgabardo.com.br; gabardopreal3@transgabardo.com.br;</v>
          </cell>
        </row>
        <row r="269">
          <cell r="A269" t="str">
            <v>92889070000160</v>
          </cell>
          <cell r="B269" t="str">
            <v>SAVAR</v>
          </cell>
          <cell r="C269" t="str">
            <v>92889070000160</v>
          </cell>
          <cell r="D269" t="str">
            <v>contasapagar@savarveiculos.com.br; diego.bittencourt@transgabardo.com.br; edonner@savarveiculos.com.br; Alexsander.alvares@savarveiculos.com.br</v>
          </cell>
        </row>
        <row r="270">
          <cell r="A270" t="str">
            <v>96479258000191</v>
          </cell>
          <cell r="B270" t="str">
            <v>SCANIA - ADM CONSÓRCIO</v>
          </cell>
          <cell r="C270" t="str">
            <v>96479258000191</v>
          </cell>
          <cell r="D270" t="str">
            <v>gabardopreal4@transgabardo.com.br; andre.costa@transgabardo.com.br; Claudinei.Yamaguchi@scania.com; flaviana.sousa@scania.com; matheus.santos@scania.com; gabardopr1@transgabardo.com.br; patricia.moretti@scania.com</v>
          </cell>
        </row>
        <row r="271">
          <cell r="A271" t="str">
            <v>11417016000110</v>
          </cell>
          <cell r="B271" t="str">
            <v>SCANIA - BANCO</v>
          </cell>
          <cell r="C271" t="str">
            <v>11417016000110</v>
          </cell>
          <cell r="D271" t="str">
            <v xml:space="preserve">andre.costa@transgabardo.com.br; Claudinei.Yamaguchi@scania.com; Patricia.Moretti@scania.com; ricardo.ignacio@scania.com; matheus.santos@scania.com; gabardopreal4@transgabardo.com.br; </v>
          </cell>
        </row>
        <row r="272">
          <cell r="A272" t="str">
            <v>11417016000200</v>
          </cell>
          <cell r="B272" t="str">
            <v>Scania Banco - São Paulo</v>
          </cell>
          <cell r="C272" t="str">
            <v>11417016000200</v>
          </cell>
          <cell r="D272" t="str">
            <v>matheus.santos@scania.com; gabardopr1@transgabardo.com.br; patricia.moretti@scania.com</v>
          </cell>
        </row>
        <row r="273">
          <cell r="A273" t="str">
            <v>63106363000207</v>
          </cell>
          <cell r="B273" t="str">
            <v>Selectrucks - Betim</v>
          </cell>
          <cell r="C273" t="str">
            <v>63106363000207</v>
          </cell>
          <cell r="D273" t="str">
            <v>ALMEIDA.RITA@DAIMLERTRUCK.COM; atendimentopr@transgabardo.com.br; andre.costa@transgabardo.com.br</v>
          </cell>
        </row>
        <row r="274">
          <cell r="A274" t="str">
            <v>63106363001017</v>
          </cell>
          <cell r="B274" t="str">
            <v>Selectrucks - Limeira</v>
          </cell>
          <cell r="C274" t="str">
            <v>63106363001017</v>
          </cell>
          <cell r="D274" t="str">
            <v>ALMEIDA.RITA@DAIMLERTRUCK.COM; atendimentopr@transgabardo.com.br</v>
          </cell>
        </row>
        <row r="275">
          <cell r="A275" t="str">
            <v>63106363000126</v>
          </cell>
          <cell r="B275" t="str">
            <v>Selectrucks - Mauá</v>
          </cell>
          <cell r="C275" t="str">
            <v>63106363000126</v>
          </cell>
          <cell r="D275" t="str">
            <v>ALMEIDA.RITA@DAIMLERTRUCK.COM; atendimentopr@transgabardo.com.br</v>
          </cell>
        </row>
        <row r="276">
          <cell r="A276" t="str">
            <v>07747107000228</v>
          </cell>
          <cell r="B276" t="str">
            <v>Sellpack</v>
          </cell>
          <cell r="C276" t="str">
            <v>07747107000228</v>
          </cell>
          <cell r="D276" t="str">
            <v>gustavo.marques@sellpack.com.br; luizantonio@transgabardo.com.br</v>
          </cell>
        </row>
        <row r="277">
          <cell r="A277" t="str">
            <v>01144454000107</v>
          </cell>
          <cell r="B277" t="str">
            <v>Serramix</v>
          </cell>
          <cell r="C277" t="str">
            <v>01144454000107</v>
          </cell>
          <cell r="D277" t="str">
            <v>financeiro@serramixconcretos.com.br; luizantonio@transgabardo.com.br</v>
          </cell>
        </row>
        <row r="278">
          <cell r="A278" t="str">
            <v>17112304000143</v>
          </cell>
          <cell r="B278" t="str">
            <v>Server</v>
          </cell>
          <cell r="C278" t="str">
            <v>17112304000143</v>
          </cell>
          <cell r="D278" t="str">
            <v>trukao.vendas@gmail.com; gabardopreal4@transgabardo.com.br; gabardopreal3@transgabardo.com.br</v>
          </cell>
        </row>
        <row r="279">
          <cell r="A279" t="str">
            <v>05297511000726</v>
          </cell>
          <cell r="B279" t="str">
            <v>SL Veículos</v>
          </cell>
          <cell r="C279" t="str">
            <v>05297511000726</v>
          </cell>
          <cell r="D279" t="str">
            <v>cristiane.manfron@slveiculos.com.br; diego.bittencourt@transgabardo.com.br</v>
          </cell>
        </row>
        <row r="280">
          <cell r="A280" t="str">
            <v>40768701000190</v>
          </cell>
          <cell r="B280" t="str">
            <v>Spe Miranga</v>
          </cell>
          <cell r="C280" t="str">
            <v>40768701000190</v>
          </cell>
          <cell r="D280" t="str">
            <v>aline.silva@petroreconcavo.com.br; comercial1@transgabardo.com.br</v>
          </cell>
        </row>
        <row r="281">
          <cell r="A281" t="str">
            <v>07629404000198</v>
          </cell>
          <cell r="B281" t="str">
            <v>Sta Barbara</v>
          </cell>
          <cell r="C281" t="str">
            <v>07629404000198</v>
          </cell>
          <cell r="D281" t="str">
            <v xml:space="preserve">mayra.pocone@transrio.com.br; gabardopreal3@transgabardo.com.br; daniele.cardoso@transrio.com.br; gabardopreal4@transgabardo.com.br; </v>
          </cell>
        </row>
        <row r="282">
          <cell r="A282" t="str">
            <v>05559735000173</v>
          </cell>
          <cell r="B282" t="str">
            <v>Stefanini Locadora</v>
          </cell>
          <cell r="C282" t="str">
            <v>05559735000173</v>
          </cell>
          <cell r="D282" t="str">
            <v>locadora@grupostefanini.com.br; adm.pir8@transgabardo.com.br; pagar3@grupostefanini.com.br; pagar2@grupostefanini.com.br</v>
          </cell>
        </row>
        <row r="283">
          <cell r="A283" t="str">
            <v>13498749000152</v>
          </cell>
          <cell r="B283" t="str">
            <v>Stefanini Multimarcas</v>
          </cell>
          <cell r="C283" t="str">
            <v>13498749000152</v>
          </cell>
          <cell r="D283" t="str">
            <v>adm.pir8@transgabardo.com.br; gvm@grupostefanini.com.br; pagar3@grupostefanini.com.br</v>
          </cell>
        </row>
        <row r="284">
          <cell r="A284" t="str">
            <v>21103412000127</v>
          </cell>
          <cell r="B284" t="str">
            <v>STF Motors</v>
          </cell>
          <cell r="C284" t="str">
            <v>21103412000127</v>
          </cell>
          <cell r="D284" t="str">
            <v>adm.pir8@transgabardo.com.br; gvm@grupostefanini.com.br; pagar3@grupostefanini.com.br</v>
          </cell>
        </row>
        <row r="285">
          <cell r="A285" t="str">
            <v>87235172000122</v>
          </cell>
          <cell r="B285" t="str">
            <v xml:space="preserve">Stihl </v>
          </cell>
          <cell r="C285" t="str">
            <v>87235172000122</v>
          </cell>
          <cell r="D285" t="str">
            <v>mauricio.kist@stihl.com.br; comercial1@transgabardo.com.br</v>
          </cell>
        </row>
        <row r="286">
          <cell r="A286" t="str">
            <v>05695110000139</v>
          </cell>
          <cell r="B286" t="str">
            <v>Stop Barra</v>
          </cell>
          <cell r="C286" t="str">
            <v>05695110000139</v>
          </cell>
          <cell r="D286" t="str">
            <v>tradeimportcar.beto@hotmail.com; comercial1@transgabardo.com.br</v>
          </cell>
        </row>
        <row r="287">
          <cell r="A287" t="str">
            <v>35615239000150</v>
          </cell>
          <cell r="B287" t="str">
            <v>Strandalle</v>
          </cell>
          <cell r="C287" t="str">
            <v>35615239000150</v>
          </cell>
          <cell r="D287" t="str">
            <v>andre.rodolfo@grupoprovence.com.br; andre.costa@transgabardo.com.br; gabardopreal4@transgabardo.com.br; gabardopreal3@transgabardo.com.br; thiago@grupoprovence.com.br; administrativo-ctba@provenceveiculos.com.br</v>
          </cell>
        </row>
        <row r="288">
          <cell r="A288" t="str">
            <v>02714977000104</v>
          </cell>
          <cell r="B288" t="str">
            <v>Suécia</v>
          </cell>
          <cell r="C288" t="str">
            <v>02714977000104</v>
          </cell>
          <cell r="D288" t="str">
            <v>paulo.pinheiro@suecia.com.br; gabardopreal4@transgabardo.com.br; gabardopreal3@transgabardo.com.br; leine.prado@suecia.com.br; gabardopreal.fat3@transgabardo.com.br</v>
          </cell>
        </row>
        <row r="289">
          <cell r="A289" t="str">
            <v>05017262000182</v>
          </cell>
          <cell r="B289" t="str">
            <v>Sul Service</v>
          </cell>
          <cell r="C289" t="str">
            <v>05017262000182</v>
          </cell>
          <cell r="D289" t="str">
            <v>lucas@sulservice.com.br; irmatos@sulservice.com.br; diego.bittencourt@transgabardo.com.br</v>
          </cell>
        </row>
        <row r="290">
          <cell r="A290" t="str">
            <v>10285001000183</v>
          </cell>
          <cell r="B290" t="str">
            <v>Super Carnes</v>
          </cell>
          <cell r="C290" t="str">
            <v>10285001000183</v>
          </cell>
          <cell r="D290" t="str">
            <v>mayra.pocone@transrio.com.br; gabardopreal3@transgabardo.com.br; daniele.cardoso@transrio.com.br; gabardopreal4@transgabardo.com.br</v>
          </cell>
        </row>
        <row r="291">
          <cell r="A291" t="str">
            <v>05937763000349</v>
          </cell>
          <cell r="B291" t="str">
            <v>Superauto</v>
          </cell>
          <cell r="C291" t="str">
            <v>05937763000349</v>
          </cell>
          <cell r="D291" t="str">
            <v>PABLO.GOMES@SUPERAUTO.COM.BR; comercialsp@transgabardo.com.br</v>
          </cell>
        </row>
        <row r="292">
          <cell r="A292" t="str">
            <v>09272047000502</v>
          </cell>
          <cell r="B292" t="str">
            <v xml:space="preserve">TAI MOTORS </v>
          </cell>
          <cell r="C292" t="str">
            <v>09272047000502</v>
          </cell>
          <cell r="D292" t="str">
            <v>admvendas.taic@grupolider.com.br; gabardoes@transgabardo.com.br</v>
          </cell>
        </row>
        <row r="293">
          <cell r="A293" t="str">
            <v>01931457000182</v>
          </cell>
          <cell r="B293" t="str">
            <v xml:space="preserve">Tange </v>
          </cell>
          <cell r="C293" t="str">
            <v>01931457000182</v>
          </cell>
          <cell r="D293" t="str">
            <v>financeiro@aerogas.com.br; aerogas@aerogas.com.br; logisticasp4@transgabardo.com.br</v>
          </cell>
        </row>
        <row r="294">
          <cell r="A294" t="str">
            <v>17715051000100</v>
          </cell>
          <cell r="B294" t="str">
            <v>Tass Motors</v>
          </cell>
          <cell r="C294" t="str">
            <v>17715051000100</v>
          </cell>
          <cell r="D294" t="str">
            <v>claudio@tassmotorsms.com.br; comercialsp@transgabardo.com.br</v>
          </cell>
        </row>
        <row r="295">
          <cell r="A295" t="str">
            <v>60924040002790</v>
          </cell>
          <cell r="B295" t="str">
            <v>TB Serviços</v>
          </cell>
          <cell r="C295" t="str">
            <v>60924040002790</v>
          </cell>
          <cell r="D295" t="str">
            <v>rodrigo.miranda@tbfrotas.com.br; rodrigo.miranda@tbfrotas.com.br</v>
          </cell>
        </row>
        <row r="296">
          <cell r="A296" t="str">
            <v>09262608001645</v>
          </cell>
          <cell r="B296" t="str">
            <v>TBFORTE</v>
          </cell>
          <cell r="C296" t="str">
            <v>09262608001645</v>
          </cell>
          <cell r="D296" t="str">
            <v>Wallace.Abilio@tbforte.com.br; pagamentos@tbforte.com.br; nota.digital@tecban.com.br; ricardo.osorio@tbforte.com.br; priscila.martins@transgabardo.com.br</v>
          </cell>
        </row>
        <row r="297">
          <cell r="A297" t="str">
            <v>16884492000165</v>
          </cell>
          <cell r="B297" t="str">
            <v>TDM Transportes</v>
          </cell>
          <cell r="C297" t="str">
            <v>16884492000165</v>
          </cell>
          <cell r="D297" t="str">
            <v>compras@tdmlogistica.com.br; logisticasp4@transgabardo.com.br; gabriel.chaves@transgabardo.com.br</v>
          </cell>
        </row>
        <row r="298">
          <cell r="A298" t="str">
            <v>02058744000192</v>
          </cell>
          <cell r="B298" t="str">
            <v>Tecar Caminhões -  Aparecida</v>
          </cell>
          <cell r="C298" t="str">
            <v>02058744000192</v>
          </cell>
          <cell r="D298" t="str">
            <v xml:space="preserve">jonathan.of@tecar.com.br; logisticasp4@transgabardo.com.br; sara.silva@tecar.com.br; adriano.melo@tecar.com.br </v>
          </cell>
        </row>
        <row r="299">
          <cell r="A299" t="str">
            <v>02058744000354</v>
          </cell>
          <cell r="B299" t="str">
            <v>Tecar Caminhões - Barra do Garças</v>
          </cell>
          <cell r="C299" t="str">
            <v>02058744000354</v>
          </cell>
          <cell r="D299" t="str">
            <v xml:space="preserve">jonathan.of@tecar.com.br; logisticasp4@transgabardo.com.br; sara.silva@tecar.com.br; adriano.melo@tecar.com.br </v>
          </cell>
        </row>
        <row r="300">
          <cell r="A300" t="str">
            <v>28567438000175</v>
          </cell>
          <cell r="B300" t="str">
            <v>Tecar Diesel - Anápolis</v>
          </cell>
          <cell r="C300" t="str">
            <v>28567438000175</v>
          </cell>
          <cell r="D300" t="str">
            <v>iarrana.ranam@tecar.com.br; angela.tavares@tecar.com.br; logisticasp4@transgabardo.com.br</v>
          </cell>
        </row>
        <row r="301">
          <cell r="A301" t="str">
            <v>28567438000256</v>
          </cell>
          <cell r="B301" t="str">
            <v>Tecar Diesel - Palmas</v>
          </cell>
          <cell r="C301" t="str">
            <v>28567438000256</v>
          </cell>
          <cell r="D301" t="str">
            <v>crigina.gomes@tecar.com.br; eduardo.nunes@tecar.com.br; guilherme.ac@tecar.com.br; logisticasp4@transgabardo.com.br</v>
          </cell>
        </row>
        <row r="302">
          <cell r="A302" t="str">
            <v>40728379000418</v>
          </cell>
          <cell r="B302" t="str">
            <v>TERRUS S.A</v>
          </cell>
          <cell r="C302" t="str">
            <v>40728379000418</v>
          </cell>
          <cell r="D302" t="str">
            <v>mas@granjafaria.com.br; gabardopreal4@transgabardo.com.br; andre.costa@transgabardo.com.br</v>
          </cell>
        </row>
        <row r="303">
          <cell r="A303" t="str">
            <v>14366110000186</v>
          </cell>
          <cell r="B303" t="str">
            <v>Tetra Mais</v>
          </cell>
          <cell r="C303" t="str">
            <v>14366110000186</v>
          </cell>
          <cell r="D303" t="str">
            <v>CONTASAPAGAR@TETRAMAIS.COM.BR; logisticasp4@transgabardo.com.br</v>
          </cell>
        </row>
        <row r="304">
          <cell r="A304" t="str">
            <v>08555864000181</v>
          </cell>
          <cell r="B304" t="str">
            <v>Tracbel Nordeste</v>
          </cell>
          <cell r="C304" t="str">
            <v>08555864000181</v>
          </cell>
          <cell r="D304" t="str">
            <v>arthur.sousa@tracbel.com.br; bauer.machado@transgabardo.com.br; PAULO.FERNANDES@TRACBEL.COM.BR; gabardopreal3@transgabardo.com.br; gabardopreal.fat3@transgabardo.com.br</v>
          </cell>
        </row>
        <row r="305">
          <cell r="A305" t="str">
            <v>34060527000123</v>
          </cell>
          <cell r="B305" t="str">
            <v>Transbasemax</v>
          </cell>
          <cell r="C305" t="str">
            <v>34060527000123</v>
          </cell>
          <cell r="D305" t="str">
            <v>basemax@hotmail.com; jessica.vicente@transgabardo.com.br; JONATHAN.OF@TECAR.COM.BR</v>
          </cell>
        </row>
        <row r="306">
          <cell r="A306" t="str">
            <v>11014496000179</v>
          </cell>
          <cell r="B306" t="str">
            <v>Transdominicana</v>
          </cell>
          <cell r="C306" t="str">
            <v>11014496000179</v>
          </cell>
          <cell r="D306" t="str">
            <v>vanessa@transdominicana.com.br; bauer.machado@transgabardo.com.br; gabardopreal3@transgabardo.com.br; gabardopreal.fat3@transgabardo.com.br</v>
          </cell>
        </row>
        <row r="307">
          <cell r="A307" t="str">
            <v>48551592000166</v>
          </cell>
          <cell r="B307" t="str">
            <v>Transformadores Minuzzi</v>
          </cell>
          <cell r="C307" t="str">
            <v>48551592000166</v>
          </cell>
          <cell r="D307" t="str">
            <v>financeiro@minuzzi.ind.br; gabardosc@transgabardo.com.br</v>
          </cell>
        </row>
        <row r="308">
          <cell r="A308" t="str">
            <v>04918005000159</v>
          </cell>
          <cell r="B308" t="str">
            <v>Transluc</v>
          </cell>
          <cell r="C308" t="str">
            <v>04918005000159</v>
          </cell>
          <cell r="D308" t="str">
            <v>jose.bernardino@terracom.com.br; central.nfeletronicas@terracom.com.br; gabardopreal4@transgabardo.com.br; gabardopreal3@transgabardo.com.br</v>
          </cell>
        </row>
        <row r="309">
          <cell r="A309" t="str">
            <v>05498682000128</v>
          </cell>
          <cell r="B309" t="str">
            <v xml:space="preserve">TRANSPATENCE </v>
          </cell>
          <cell r="C309" t="str">
            <v>05498682000128</v>
          </cell>
          <cell r="D309" t="str">
            <v>transpatence@transpatence.com.br; logisticasp4@transgabardo.com.br</v>
          </cell>
        </row>
        <row r="310">
          <cell r="A310" t="str">
            <v>23935495000227</v>
          </cell>
          <cell r="B310" t="str">
            <v>Transpodiesel</v>
          </cell>
          <cell r="C310" t="str">
            <v>23935495000227</v>
          </cell>
          <cell r="D310" t="str">
            <v>transpodiesel@transpodiesel.com.br; milene.cariolato@transrio.com.br; gabardopreal4@transgabardo.com.br; gabardopreal4@transgabardo.com.br; Financeiro financeiro@transpodiesel.com.br</v>
          </cell>
        </row>
        <row r="311">
          <cell r="A311" t="str">
            <v>44825635000101</v>
          </cell>
          <cell r="B311" t="str">
            <v>Transporlab</v>
          </cell>
          <cell r="C311" t="str">
            <v>44825635000101</v>
          </cell>
          <cell r="D311" t="str">
            <v>marcelino.andrade@pmh.com.br; gabardopreal4@transgabardo.com.br; gabardopreal.fat3@transgabardo.com.br; gabardopreal3@transgabardo.com.br</v>
          </cell>
        </row>
        <row r="312">
          <cell r="A312" t="str">
            <v>91302331000212</v>
          </cell>
          <cell r="B312" t="str">
            <v>Transportes Bebber</v>
          </cell>
          <cell r="C312" t="str">
            <v>91302331000212</v>
          </cell>
          <cell r="D312" t="str">
            <v>faleconoscosa@bebber.com.br; diego.bittencourt@transgabardo.com.br</v>
          </cell>
        </row>
        <row r="313">
          <cell r="A313" t="str">
            <v>11726521002000</v>
          </cell>
          <cell r="B313" t="str">
            <v>TRANSRIO - Caçapava</v>
          </cell>
          <cell r="C313" t="str">
            <v>11726521002000</v>
          </cell>
          <cell r="D313" t="str">
            <v xml:space="preserve">ALESSANDRA.MOURA@TRANSRIO.COM.BR; gabardopreal4@transgabardo.com.br; gabardopreal3@transgabardo.com.br; denise.pazeli@transrio.com.br; </v>
          </cell>
        </row>
        <row r="314">
          <cell r="A314" t="str">
            <v>11726521000732</v>
          </cell>
          <cell r="B314" t="str">
            <v>Transrio - Caxias do Sul</v>
          </cell>
          <cell r="C314" t="str">
            <v>11726521000732</v>
          </cell>
          <cell r="D314" t="str">
            <v>fabiana.silva@transrio.com.br; milene.cariolato@transrio.com.br; edinara.leite@transrio.com.br; gabardopreal4@transgabardo.com.br; gabriel.chaves@transgabardo.com.br; anelise.couto@transrio.com.br;gabardopreal.fat3@transgabardo.com.br</v>
          </cell>
        </row>
        <row r="315">
          <cell r="A315" t="str">
            <v>11726521000570</v>
          </cell>
          <cell r="B315" t="str">
            <v>Transrio - Eldorado</v>
          </cell>
          <cell r="C315" t="str">
            <v>11726521000570</v>
          </cell>
          <cell r="D315" t="str">
            <v>fabiana.silva@transrio.com.br; milene.cariolato@transrio.com.br; edinara.leite@transrio.com.br; gabardopreal4@transgabardo.com.br; gabriel.chaves@transgabardo.com.br; anelise.couto@transrio.com.br;gabardopreal.fat3@transgabardo.com.br</v>
          </cell>
        </row>
        <row r="316">
          <cell r="A316" t="str">
            <v>11726521002603</v>
          </cell>
          <cell r="B316" t="str">
            <v>Transrio - Itaboraí</v>
          </cell>
          <cell r="C316" t="str">
            <v>11726521002603</v>
          </cell>
          <cell r="D316" t="str">
            <v>simone.aquino@transrio.com.br;  gabardopreal4@transgabardo.com.br; gabardopreal3@transgabardo.com.br;</v>
          </cell>
        </row>
        <row r="317">
          <cell r="A317" t="str">
            <v>11726521001208</v>
          </cell>
          <cell r="B317" t="str">
            <v>Transrio - Nossa Sra dos Socorro</v>
          </cell>
          <cell r="C317" t="str">
            <v>11726521001208</v>
          </cell>
          <cell r="D317" t="str">
            <v>mayra.pocone@transrio.com.br; gabardopreal3@transgabardo.com.br; daniele.cardoso@transrio.com.br; gabardopreal4@transgabardo.com.br; gabriel.chaves@transgabardo.com.br</v>
          </cell>
        </row>
        <row r="318">
          <cell r="A318" t="str">
            <v>11726521000651</v>
          </cell>
          <cell r="B318" t="str">
            <v>Transrio - Pelotas</v>
          </cell>
          <cell r="C318" t="str">
            <v>11726521000651</v>
          </cell>
          <cell r="D318" t="str">
            <v>fabiana.silva@transrio.com.br; milene.cariolato@transrio.com.br; edinara.leite@transrio.com.br; gabardopreal4@transgabardo.com.br; gabriel.chaves@transgabardo.com.br; anelise.couto@transrio.com.br;gabardopreal.fat3@transgabardo.com.br</v>
          </cell>
        </row>
        <row r="319">
          <cell r="A319" t="str">
            <v>11726521001976</v>
          </cell>
          <cell r="B319" t="str">
            <v>Transrio - Resende</v>
          </cell>
          <cell r="C319" t="str">
            <v>11726521001976</v>
          </cell>
          <cell r="D319" t="str">
            <v>alessandra.moreira@transrio.com.br; gabardopreal4@transgabardo.com.br; gabardopreal3@transgabardo.com.br; denise.pazeli@transrio.com.br</v>
          </cell>
        </row>
        <row r="320">
          <cell r="A320" t="str">
            <v>11726521000147</v>
          </cell>
          <cell r="B320" t="str">
            <v>Transrio - Rio de Janeiro</v>
          </cell>
          <cell r="C320" t="str">
            <v>11726521000147</v>
          </cell>
          <cell r="D320" t="str">
            <v>gabardopreal4@transgabardo.com.br; Julianne.henrique@transrio.com.br; Larissa.leite@transrio.com.br; Matheus.freitas@transrio.com.br</v>
          </cell>
        </row>
        <row r="321">
          <cell r="A321" t="str">
            <v>11726521000902</v>
          </cell>
          <cell r="B321" t="str">
            <v>Transrio - São Leopoldo</v>
          </cell>
          <cell r="C321" t="str">
            <v>11726521000902</v>
          </cell>
          <cell r="D321" t="str">
            <v>fabiana.silva@transrio.com.br; milene.cariolato@transrio.com.br; edinara.leite@transrio.com.br; gabardopreal4@transgabardo.com.br; gabriel.chaves@transgabardo.com.br; anelise.couto@transrio.com.br;gabardopreal.fat3@transgabardo.com.br</v>
          </cell>
        </row>
        <row r="322">
          <cell r="A322" t="str">
            <v>11726521001542</v>
          </cell>
          <cell r="B322" t="str">
            <v>Transrio -Palmas</v>
          </cell>
          <cell r="C322" t="str">
            <v>11726521001542</v>
          </cell>
          <cell r="D322" t="str">
            <v>alessandra.souza@transrio.com.br; bauer.machado@transgabardo.com.br; gabardopreal.fat3@transgabardo.com.br</v>
          </cell>
        </row>
        <row r="323">
          <cell r="A323" t="str">
            <v>05359132000632</v>
          </cell>
          <cell r="B323" t="str">
            <v>TRP Operadora Logística</v>
          </cell>
          <cell r="C323" t="str">
            <v>05359132000632</v>
          </cell>
          <cell r="D323" t="str">
            <v>bauer.machado@transgabardo.com.br; caroline@futuracaminhoes.com.br; gerencia.manutencao@trplogistica.com.br; gabardopreal3@transgabardo.com.br; gabardopreal.fat3@transgabardo.com.br; rodrigoaureliano@futuracaminhoes.com.br</v>
          </cell>
        </row>
        <row r="324">
          <cell r="A324" t="str">
            <v>33917304000177</v>
          </cell>
          <cell r="B324" t="str">
            <v>TVG</v>
          </cell>
          <cell r="C324" t="str">
            <v>33917304000177</v>
          </cell>
          <cell r="D324" t="str">
            <v>ADM@TVGCAMINHOES.COM.BR; gabardopreal4@transgabardo.com.br; gabardopreal.fat3@transgabardo.com.br; gabardopreal3@transgabardo.com.br</v>
          </cell>
        </row>
        <row r="325">
          <cell r="A325" t="str">
            <v>92793124000190</v>
          </cell>
          <cell r="B325" t="str">
            <v>Unidos Veiculos</v>
          </cell>
          <cell r="C325" t="str">
            <v>92793124000190</v>
          </cell>
          <cell r="D325" t="str">
            <v>rafael.santos@unidosnet.com.br; luizantonio@transgabardo.com.br</v>
          </cell>
        </row>
        <row r="326">
          <cell r="A326" t="str">
            <v>87235297000152</v>
          </cell>
          <cell r="B326" t="str">
            <v>Unique Rubber</v>
          </cell>
          <cell r="C326" t="str">
            <v>87235297000152</v>
          </cell>
          <cell r="D326" t="str">
            <v>eduardo.hartmann@unirtec.com; priscila.martins@transgabardo.com.br</v>
          </cell>
        </row>
        <row r="327">
          <cell r="A327" t="str">
            <v>01109184000438</v>
          </cell>
          <cell r="B327" t="str">
            <v>UNIVERSO ONLINE</v>
          </cell>
          <cell r="C327" t="str">
            <v>01109184000438</v>
          </cell>
          <cell r="D327" t="str">
            <v>prfranco@uolinc.com; l-compras-uol@uolinc.com; comercialsp@transgabardo.com.br</v>
          </cell>
        </row>
        <row r="328">
          <cell r="A328" t="str">
            <v>88979042000167</v>
          </cell>
          <cell r="B328" t="str">
            <v xml:space="preserve">Urano </v>
          </cell>
          <cell r="C328" t="str">
            <v>88979042000167</v>
          </cell>
          <cell r="D328" t="str">
            <v>ariana@urano.com.br; diego.bittencourt@transgabardo.com.br</v>
          </cell>
        </row>
        <row r="329">
          <cell r="A329" t="str">
            <v>09629348000117</v>
          </cell>
          <cell r="B329" t="str">
            <v>V R Construções</v>
          </cell>
          <cell r="C329" t="str">
            <v>09629348000117</v>
          </cell>
          <cell r="D329" t="str">
            <v>vrconstrucoeselocacoes@hotmail.com; atendimentopr@transgabardo.com.br</v>
          </cell>
        </row>
        <row r="330">
          <cell r="A330" t="str">
            <v>23373000001376</v>
          </cell>
          <cell r="B330" t="str">
            <v>Vamos - Eldorado do Sul</v>
          </cell>
          <cell r="C330" t="str">
            <v>23373000001376</v>
          </cell>
          <cell r="D330" t="str">
            <v>gabardopreal4@transgabardo.com.br; cleber.matos@grupovamos.com.br; gabardopreal3@transgabardo.com.br; nfe.implantacao@grupovamos.com.br; pamela.gomes@grupovamos.com.br; gabardopreal.fat3@transgabardo.com.br</v>
          </cell>
        </row>
        <row r="331">
          <cell r="A331" t="str">
            <v>23373000002933B</v>
          </cell>
          <cell r="B331" t="str">
            <v>VAMOS - Mogi</v>
          </cell>
          <cell r="C331" t="str">
            <v>23373000002933B</v>
          </cell>
          <cell r="D331" t="str">
            <v>gabardopreal4@transgabardo.com.br; cleber.matos@grupovamos.com.br; gabardopreal3@transgabardo.com.br; nfe.implantacao@grupovamos.com.br; pamela.gomes@grupovamos.com.br</v>
          </cell>
        </row>
        <row r="332">
          <cell r="A332" t="str">
            <v>23373000002933D</v>
          </cell>
          <cell r="B332" t="str">
            <v>VAMOS - Mogi</v>
          </cell>
          <cell r="C332" t="str">
            <v>23373000002933D</v>
          </cell>
          <cell r="D332" t="str">
            <v>renata.carmo@grupovamos.com.br; diego.bittencourt@transgabardo.com.br</v>
          </cell>
        </row>
        <row r="333">
          <cell r="A333" t="str">
            <v>23373000001104</v>
          </cell>
          <cell r="B333" t="str">
            <v>VAMOS - Rio de Janeiro</v>
          </cell>
          <cell r="C333" t="str">
            <v>23373000001104</v>
          </cell>
          <cell r="D333" t="str">
            <v>gabardopreal4@transgabardo.com.br; cleber.matos@grupovamos.com.br; gabardopreal3@transgabardo.com.br; nfe.implantacao@grupovamos.com.br; pamela.gomes@grupovamos.com.br; gabardopreal.fat3@transgabardo.com.br</v>
          </cell>
        </row>
        <row r="334">
          <cell r="A334" t="str">
            <v>18163414000792</v>
          </cell>
          <cell r="B334" t="str">
            <v>Vamos Seminovos</v>
          </cell>
          <cell r="C334" t="str">
            <v>18163414000792</v>
          </cell>
          <cell r="D334" t="str">
            <v>ariany.vaz@grupovamos.com.br; gabardopreal4@transgabardo.com.br; gabardopreal.fat3@transgabardo.com.br; gabardopreal3@transgabardo.com.br</v>
          </cell>
        </row>
        <row r="335">
          <cell r="A335" t="str">
            <v>28053197000146</v>
          </cell>
          <cell r="B335" t="str">
            <v>Vessa</v>
          </cell>
          <cell r="C335" t="str">
            <v>28053197000146</v>
          </cell>
          <cell r="D335" t="str">
            <v>vdireta.carlos@vessa.com.br; gabardoes@transgabardo.com.br</v>
          </cell>
        </row>
        <row r="336">
          <cell r="A336" t="str">
            <v>18703805000167</v>
          </cell>
          <cell r="B336" t="str">
            <v>Via Trucks São Paulo</v>
          </cell>
          <cell r="C336" t="str">
            <v>18703805000167</v>
          </cell>
          <cell r="D336" t="str">
            <v>ERIKA.GONCALVES@VIAJAP.COM.BR; gabardopreal4@transgabardo.com.br; gabardopreal3@transgabardo.com.br</v>
          </cell>
        </row>
        <row r="337">
          <cell r="A337" t="str">
            <v>03094114000136</v>
          </cell>
          <cell r="B337" t="str">
            <v>VITORIA PROVEDORA LOGISTICA LTDA</v>
          </cell>
          <cell r="C337" t="str">
            <v>03094114000136</v>
          </cell>
          <cell r="D337" t="str">
            <v>rafaelarnecke@vitlog.com.br; marcus@vitlog.com.br; bauer.machado@transgabardo.com.br</v>
          </cell>
        </row>
        <row r="338">
          <cell r="A338" t="str">
            <v>32681371003864</v>
          </cell>
          <cell r="B338" t="str">
            <v>Vix Logistica</v>
          </cell>
          <cell r="C338" t="str">
            <v>32681371003864</v>
          </cell>
          <cell r="D338" t="str">
            <v>flaviodaher@vix.com.br; gabardoes@transgabardo.com.br</v>
          </cell>
        </row>
        <row r="339">
          <cell r="A339" t="str">
            <v>01111039000491</v>
          </cell>
          <cell r="B339" t="str">
            <v>W. H. B. do Brasil</v>
          </cell>
          <cell r="C339" t="str">
            <v>01111039000491</v>
          </cell>
          <cell r="D339" t="str">
            <v>daniela_soares@bradycorp.com; comercialsp@transgabardo.com.br</v>
          </cell>
        </row>
        <row r="340">
          <cell r="A340" t="str">
            <v>33228024002103</v>
          </cell>
          <cell r="B340" t="str">
            <v>WLM PARTICIPAÇÕES</v>
          </cell>
          <cell r="C340" t="str">
            <v>33228024002103</v>
          </cell>
          <cell r="D340" t="str">
            <v>Antonio.Costa@wlmquintaroda.com.br; gabardopreal4@transgabardo.com.br; gabardopreal.fat3@transgabardo.com.br; gabardopreal3@transgabardo.com.br</v>
          </cell>
        </row>
        <row r="341">
          <cell r="A341" t="str">
            <v>33228024000402</v>
          </cell>
          <cell r="B341" t="str">
            <v>WLM PARTICIPAÇÕES</v>
          </cell>
          <cell r="C341" t="str">
            <v>33228024000402</v>
          </cell>
          <cell r="D341" t="str">
            <v>ANTONIO.COSTA@WLMQUINTARODA.COM.BR; atendimentopr@transgabardo.com.br; andre.costa@transgabardo.com.br</v>
          </cell>
        </row>
        <row r="342">
          <cell r="A342" t="str">
            <v>10581285000155</v>
          </cell>
          <cell r="B342" t="str">
            <v>WS Serviços</v>
          </cell>
          <cell r="C342" t="str">
            <v>10581285000155</v>
          </cell>
          <cell r="D342" t="str">
            <v>gabardosc@transgabardo.com.br; natan.jacob@lideranca.com.br</v>
          </cell>
        </row>
        <row r="343">
          <cell r="A343" t="str">
            <v>23373000000647D</v>
          </cell>
          <cell r="B343" t="str">
            <v>Vamos - Itaquaquecetuba</v>
          </cell>
          <cell r="C343" t="str">
            <v>23373000000647D</v>
          </cell>
          <cell r="D343" t="str">
            <v>renata.carmo@grupovamos.com.br; diego.bittencourt@transgabardo.com.br</v>
          </cell>
        </row>
        <row r="344">
          <cell r="A344" t="str">
            <v>39826854000167</v>
          </cell>
          <cell r="B344" t="str">
            <v>Meta Central de Veiculos</v>
          </cell>
          <cell r="C344" t="str">
            <v>39826854000167</v>
          </cell>
          <cell r="D344" t="str">
            <v>financeiro@metacs.com.br; kezia.aguiar@metacs.com.br; gabardoes@transgabardo.com.br</v>
          </cell>
        </row>
        <row r="345">
          <cell r="A345" t="str">
            <v>06900979000130</v>
          </cell>
          <cell r="B345" t="str">
            <v>Faberge</v>
          </cell>
          <cell r="C345" t="str">
            <v>06900979000130</v>
          </cell>
          <cell r="D345" t="str">
            <v>paula@grupofaberge.com; comercialsp@transgabardo.com.br</v>
          </cell>
        </row>
        <row r="346">
          <cell r="A346" t="str">
            <v>15205628000281</v>
          </cell>
          <cell r="B346" t="str">
            <v>Tramontina Nordeste</v>
          </cell>
          <cell r="C346" t="str">
            <v>15205628000281</v>
          </cell>
          <cell r="D346" t="str">
            <v>lucas.zarpelon@tramontina.com; diego.bittencourt@transgabardo.com.br; gabriel.chaves@transgabardo.com.br</v>
          </cell>
        </row>
        <row r="347">
          <cell r="A347" t="str">
            <v>03703339000304</v>
          </cell>
          <cell r="B347" t="str">
            <v>Maggi Motors</v>
          </cell>
          <cell r="C347" t="str">
            <v>03703339000304</v>
          </cell>
          <cell r="D347" t="str">
            <v>logisticasp4@transgabardo.com.br; Mello@maggitoyota.com.br; gabriel.chaves@transgabardo.com.br</v>
          </cell>
        </row>
        <row r="348">
          <cell r="A348" t="str">
            <v>32291119000157</v>
          </cell>
          <cell r="B348" t="str">
            <v>LXD</v>
          </cell>
          <cell r="C348" t="str">
            <v>32291119000157</v>
          </cell>
          <cell r="D348" t="str">
            <v xml:space="preserve">comercial1@transgabardo.com.br; </v>
          </cell>
        </row>
        <row r="349">
          <cell r="A349" t="str">
            <v>07546521000198</v>
          </cell>
          <cell r="B349" t="str">
            <v>Sta Distribuidora</v>
          </cell>
          <cell r="C349" t="str">
            <v>07546521000198</v>
          </cell>
          <cell r="D349" t="str">
            <v>juliano@saalimentos.com.br; ELIAS@BELCARCAMINHOES.COM.BR; FISCAL@SAALIMENTOS.COM.BR; elias@belcarcaminhoes.com.br; gabardopreal4@transgabardo.com.br; gabardopreal.fat3@transgabardo.com.br; gabardopreal3@transgabardo.com.br; gabriel.chaves@transgabardo.com.br</v>
          </cell>
        </row>
        <row r="350">
          <cell r="A350" t="str">
            <v>33264054000113</v>
          </cell>
          <cell r="B350" t="str">
            <v>GR8 Motors</v>
          </cell>
          <cell r="C350" t="str">
            <v>33264054000113</v>
          </cell>
          <cell r="D350" t="str">
            <v>financeiro@gr8motors.com.br; diego.bittencourt@transgabardo.com.br; gabriel.chaves@transgabardo.com.br</v>
          </cell>
        </row>
        <row r="351">
          <cell r="A351" t="str">
            <v>14643838000108</v>
          </cell>
          <cell r="B351" t="str">
            <v>Carlex</v>
          </cell>
          <cell r="C351" t="str">
            <v>14643838000108</v>
          </cell>
          <cell r="D351" t="str">
            <v>marcelo334@carlucho.com.br; gabardopreal@transgabardo.com.br; gabriel.chaves@transgabardo.com.br</v>
          </cell>
        </row>
        <row r="352">
          <cell r="A352" t="str">
            <v>09452900001205</v>
          </cell>
          <cell r="B352" t="str">
            <v>Vix Logistica</v>
          </cell>
          <cell r="C352" t="str">
            <v>09452900001205</v>
          </cell>
          <cell r="D352" t="str">
            <v>DiogoN@vix.com.br; comercialsp@transgabardo.com.br; gabriel.chaves@transgabardo.com.br</v>
          </cell>
        </row>
        <row r="353">
          <cell r="A353" t="str">
            <v>03842117000100</v>
          </cell>
          <cell r="B353" t="str">
            <v>APL Gestão Ambiental</v>
          </cell>
          <cell r="C353" t="str">
            <v>03842117000100</v>
          </cell>
          <cell r="D353" t="str">
            <v>FINANCEIRO@APLGESTAOAMBIENTAL.COM.BR; edinara.leite@transrio.com.br; gabriel.chaves@transgabardo.com.br; gabardopreal4@transgabardo.com.br; gabardopreal3@transgabardo.com.br</v>
          </cell>
        </row>
        <row r="354">
          <cell r="A354"/>
        </row>
        <row r="355">
          <cell r="A355"/>
        </row>
        <row r="356">
          <cell r="A356"/>
        </row>
        <row r="357">
          <cell r="A357"/>
        </row>
        <row r="358">
          <cell r="A358"/>
        </row>
        <row r="359">
          <cell r="A359"/>
        </row>
        <row r="360">
          <cell r="A360"/>
        </row>
        <row r="362">
          <cell r="D362" t="str">
            <v xml:space="preserve">diego.bittencourt@transgabardo.com.br; luana.jacintho@csbrasilservicos.com.br; cobranca2@transgabardo.com.br; gabriel.chaves@transgabardo.com.br; </v>
          </cell>
        </row>
        <row r="363">
          <cell r="A363" t="str">
            <v>27.595.780/0029-17</v>
          </cell>
          <cell r="B363" t="str">
            <v>SE</v>
          </cell>
          <cell r="C363" t="str">
            <v>hidelbrando.silva@csbrasilservicos.com.br</v>
          </cell>
        </row>
        <row r="364">
          <cell r="A364" t="str">
            <v>27.595.780/0005-40</v>
          </cell>
          <cell r="B364" t="str">
            <v>RN</v>
          </cell>
          <cell r="C364" t="str">
            <v>luan.felipe@csbrasilservicos.com.br</v>
          </cell>
        </row>
        <row r="365">
          <cell r="A365" t="str">
            <v>27.595.780/0024-02</v>
          </cell>
          <cell r="B365" t="str">
            <v>PB</v>
          </cell>
          <cell r="C365" t="str">
            <v>[mailto:ana.aoliveira@csbrasilservicos.com.br%20/]ana.aoliveira@csbrasilservicos.com.br / frankle.dantas@csbrasilservicos.com.br</v>
          </cell>
        </row>
        <row r="366">
          <cell r="A366" t="str">
            <v>27.595.780/0008-92</v>
          </cell>
          <cell r="B366"/>
          <cell r="C366" t="str">
            <v>wania.santos@csbrasilservicos.com.br</v>
          </cell>
        </row>
        <row r="367">
          <cell r="A367" t="str">
            <v>10.965.693/0035-50</v>
          </cell>
          <cell r="B367" t="str">
            <v>SC</v>
          </cell>
          <cell r="C367" t="str">
            <v>luciana.ramaioli@csbrasilservicos.com.br</v>
          </cell>
        </row>
        <row r="368">
          <cell r="A368"/>
          <cell r="B368"/>
          <cell r="C368"/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evandrosm@live.com" TargetMode="External"/><Relationship Id="rId1" Type="http://schemas.openxmlformats.org/officeDocument/2006/relationships/hyperlink" Target="mailto:evandrosm@live.com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F6019-E4E5-4936-9EC6-4C7CE380E3B9}">
  <sheetPr codeName="Planilha4"/>
  <dimension ref="A1:G141"/>
  <sheetViews>
    <sheetView workbookViewId="0">
      <selection activeCell="G2" sqref="G2:G15"/>
    </sheetView>
  </sheetViews>
  <sheetFormatPr defaultRowHeight="15"/>
  <cols>
    <col min="3" max="3" width="15.42578125" customWidth="1"/>
    <col min="4" max="4" width="33.85546875" customWidth="1"/>
    <col min="6" max="6" width="21.85546875" customWidth="1"/>
    <col min="7" max="7" width="36.5703125" customWidth="1"/>
  </cols>
  <sheetData>
    <row r="1" spans="1:7" s="18" customFormat="1">
      <c r="A1" s="18" t="s">
        <v>12</v>
      </c>
      <c r="C1" s="18" t="s">
        <v>14</v>
      </c>
      <c r="D1" s="18" t="s">
        <v>15</v>
      </c>
    </row>
    <row r="2" spans="1:7">
      <c r="C2" t="str">
        <f>'Envio de CTes'!N3</f>
        <v>6222622617</v>
      </c>
      <c r="D2" t="str">
        <f>'Envio de CTes'!K3</f>
        <v>Boleto-10633</v>
      </c>
      <c r="F2" t="s">
        <v>34</v>
      </c>
      <c r="G2" t="s">
        <v>35</v>
      </c>
    </row>
    <row r="3" spans="1:7">
      <c r="C3" t="str">
        <f>'Envio de CTes'!N4</f>
        <v>6222622618</v>
      </c>
      <c r="D3" t="str">
        <f>'Envio de CTes'!K4</f>
        <v>Boleto-10634</v>
      </c>
      <c r="F3" t="s">
        <v>36</v>
      </c>
      <c r="G3" t="s">
        <v>37</v>
      </c>
    </row>
    <row r="4" spans="1:7">
      <c r="C4" t="str">
        <f>'Envio de CTes'!N5</f>
        <v>6222622619</v>
      </c>
      <c r="D4" t="str">
        <f>'Envio de CTes'!K5</f>
        <v>Boleto-13612</v>
      </c>
      <c r="F4" t="s">
        <v>30</v>
      </c>
      <c r="G4" t="s">
        <v>31</v>
      </c>
    </row>
    <row r="5" spans="1:7">
      <c r="C5" t="str">
        <f>'Envio de CTes'!N6</f>
        <v>6222622620</v>
      </c>
      <c r="D5" t="str">
        <f>'Envio de CTes'!K6</f>
        <v>Boleto-13614</v>
      </c>
      <c r="F5" t="s">
        <v>32</v>
      </c>
      <c r="G5" t="s">
        <v>33</v>
      </c>
    </row>
    <row r="6" spans="1:7">
      <c r="C6" t="str">
        <f>'Envio de CTes'!N7</f>
        <v>6222622621</v>
      </c>
      <c r="D6" t="str">
        <f>'Envio de CTes'!K7</f>
        <v>Boleto-26015</v>
      </c>
      <c r="F6" t="s">
        <v>20</v>
      </c>
      <c r="G6" t="s">
        <v>21</v>
      </c>
    </row>
    <row r="7" spans="1:7">
      <c r="C7" t="str">
        <f>'Envio de CTes'!N8</f>
        <v>6222622623</v>
      </c>
      <c r="D7" t="str">
        <f>'Envio de CTes'!K8</f>
        <v>Boleto-79775</v>
      </c>
      <c r="F7" t="s">
        <v>22</v>
      </c>
      <c r="G7" t="s">
        <v>23</v>
      </c>
    </row>
    <row r="8" spans="1:7">
      <c r="C8" t="str">
        <f>'Envio de CTes'!N9</f>
        <v>6222622624</v>
      </c>
      <c r="D8" t="str">
        <f>'Envio de CTes'!K9</f>
        <v>Boleto-79776</v>
      </c>
      <c r="F8" t="s">
        <v>28</v>
      </c>
      <c r="G8" t="s">
        <v>29</v>
      </c>
    </row>
    <row r="9" spans="1:7">
      <c r="C9" t="str">
        <f>'Envio de CTes'!N10</f>
        <v>6222622625</v>
      </c>
      <c r="D9" t="str">
        <f>'Envio de CTes'!K10</f>
        <v>Boleto-388</v>
      </c>
      <c r="F9" t="s">
        <v>24</v>
      </c>
      <c r="G9" t="s">
        <v>25</v>
      </c>
    </row>
    <row r="10" spans="1:7">
      <c r="C10" t="str">
        <f>'Envio de CTes'!N11</f>
        <v>6222622626</v>
      </c>
      <c r="D10" t="str">
        <f>'Envio de CTes'!K11</f>
        <v>Boleto-61006</v>
      </c>
      <c r="F10" t="s">
        <v>18</v>
      </c>
      <c r="G10" t="s">
        <v>19</v>
      </c>
    </row>
    <row r="11" spans="1:7">
      <c r="C11" t="e">
        <f>'Envio de CTes'!N77</f>
        <v>#VALUE!</v>
      </c>
      <c r="D11" t="str">
        <f>'Envio de CTes'!K77</f>
        <v>Boleto-</v>
      </c>
      <c r="F11" t="s">
        <v>26</v>
      </c>
      <c r="G11" t="s">
        <v>27</v>
      </c>
    </row>
    <row r="12" spans="1:7">
      <c r="C12" t="str">
        <f>'Envio de CTes'!N12</f>
        <v>6222622627</v>
      </c>
      <c r="D12" t="str">
        <f>'Envio de CTes'!K12</f>
        <v>Boleto-61007</v>
      </c>
      <c r="F12" t="s">
        <v>40</v>
      </c>
      <c r="G12" t="s">
        <v>41</v>
      </c>
    </row>
    <row r="13" spans="1:7">
      <c r="C13" t="str">
        <f>'Envio de CTes'!N13</f>
        <v>6222622628</v>
      </c>
      <c r="D13" t="str">
        <f>'Envio de CTes'!K13</f>
        <v>Boleto-1278</v>
      </c>
      <c r="F13" t="s">
        <v>38</v>
      </c>
      <c r="G13" t="s">
        <v>39</v>
      </c>
    </row>
    <row r="14" spans="1:7">
      <c r="C14" t="str">
        <f>'Envio de CTes'!N14</f>
        <v>6222622629</v>
      </c>
      <c r="D14" t="str">
        <f>'Envio de CTes'!K14</f>
        <v>Boleto-14164</v>
      </c>
      <c r="F14" t="s">
        <v>44</v>
      </c>
      <c r="G14" t="s">
        <v>45</v>
      </c>
    </row>
    <row r="15" spans="1:7">
      <c r="C15" t="e">
        <f>'Envio de CTes'!#REF!</f>
        <v>#REF!</v>
      </c>
      <c r="D15" t="e">
        <f>'Envio de CTes'!#REF!</f>
        <v>#REF!</v>
      </c>
      <c r="F15" t="s">
        <v>42</v>
      </c>
      <c r="G15" t="s">
        <v>43</v>
      </c>
    </row>
    <row r="16" spans="1:7">
      <c r="C16" t="e">
        <f>'Envio de CTes'!#REF!</f>
        <v>#REF!</v>
      </c>
      <c r="D16" t="e">
        <f>'Envio de CTes'!#REF!</f>
        <v>#REF!</v>
      </c>
    </row>
    <row r="17" spans="3:4">
      <c r="C17" t="e">
        <f>'Envio de CTes'!#REF!</f>
        <v>#REF!</v>
      </c>
      <c r="D17" t="e">
        <f>'Envio de CTes'!#REF!</f>
        <v>#REF!</v>
      </c>
    </row>
    <row r="18" spans="3:4">
      <c r="C18" t="e">
        <f>'Envio de CTes'!#REF!</f>
        <v>#REF!</v>
      </c>
      <c r="D18" t="e">
        <f>'Envio de CTes'!#REF!</f>
        <v>#REF!</v>
      </c>
    </row>
    <row r="19" spans="3:4">
      <c r="C19" t="e">
        <f>'Envio de CTes'!#REF!</f>
        <v>#REF!</v>
      </c>
      <c r="D19" t="e">
        <f>'Envio de CTes'!#REF!</f>
        <v>#REF!</v>
      </c>
    </row>
    <row r="20" spans="3:4">
      <c r="C20" t="e">
        <f>'Envio de CTes'!#REF!</f>
        <v>#REF!</v>
      </c>
      <c r="D20" t="e">
        <f>'Envio de CTes'!#REF!</f>
        <v>#REF!</v>
      </c>
    </row>
    <row r="21" spans="3:4">
      <c r="C21" t="e">
        <f>'Envio de CTes'!N15</f>
        <v>#VALUE!</v>
      </c>
      <c r="D21" t="str">
        <f>'Envio de CTes'!K15</f>
        <v>Boleto-</v>
      </c>
    </row>
    <row r="22" spans="3:4">
      <c r="C22" t="e">
        <f>'Envio de CTes'!N16</f>
        <v>#VALUE!</v>
      </c>
      <c r="D22" t="str">
        <f>'Envio de CTes'!K16</f>
        <v>Boleto-</v>
      </c>
    </row>
    <row r="23" spans="3:4">
      <c r="C23" t="e">
        <f>'Envio de CTes'!N17</f>
        <v>#VALUE!</v>
      </c>
      <c r="D23" t="str">
        <f>'Envio de CTes'!K17</f>
        <v>Boleto-</v>
      </c>
    </row>
    <row r="24" spans="3:4">
      <c r="C24" t="e">
        <f>'Envio de CTes'!N18</f>
        <v>#VALUE!</v>
      </c>
      <c r="D24" t="str">
        <f>'Envio de CTes'!K18</f>
        <v>Boleto-</v>
      </c>
    </row>
    <row r="25" spans="3:4">
      <c r="C25" t="e">
        <f>'Envio de CTes'!N19</f>
        <v>#VALUE!</v>
      </c>
      <c r="D25" t="str">
        <f>'Envio de CTes'!K19</f>
        <v>Boleto-</v>
      </c>
    </row>
    <row r="26" spans="3:4">
      <c r="C26" t="e">
        <f>'Envio de CTes'!N20</f>
        <v>#VALUE!</v>
      </c>
      <c r="D26" t="str">
        <f>'Envio de CTes'!K20</f>
        <v>Boleto-</v>
      </c>
    </row>
    <row r="27" spans="3:4">
      <c r="C27" t="e">
        <f>'Envio de CTes'!N21</f>
        <v>#VALUE!</v>
      </c>
      <c r="D27" t="str">
        <f>'Envio de CTes'!K21</f>
        <v>Boleto-</v>
      </c>
    </row>
    <row r="28" spans="3:4">
      <c r="C28" t="e">
        <f>'Envio de CTes'!N22</f>
        <v>#VALUE!</v>
      </c>
      <c r="D28" t="str">
        <f>'Envio de CTes'!K22</f>
        <v>Boleto-</v>
      </c>
    </row>
    <row r="29" spans="3:4">
      <c r="C29" t="e">
        <f>'Envio de CTes'!N23</f>
        <v>#VALUE!</v>
      </c>
      <c r="D29" t="str">
        <f>'Envio de CTes'!K23</f>
        <v>Boleto-</v>
      </c>
    </row>
    <row r="30" spans="3:4">
      <c r="C30" t="e">
        <f>'Envio de CTes'!N24</f>
        <v>#VALUE!</v>
      </c>
      <c r="D30" t="str">
        <f>'Envio de CTes'!K24</f>
        <v>Boleto-</v>
      </c>
    </row>
    <row r="31" spans="3:4">
      <c r="C31" t="e">
        <f>'Envio de CTes'!N25</f>
        <v>#VALUE!</v>
      </c>
      <c r="D31" t="str">
        <f>'Envio de CTes'!K25</f>
        <v>Boleto-</v>
      </c>
    </row>
    <row r="32" spans="3:4">
      <c r="C32" t="e">
        <f>'Envio de CTes'!N26</f>
        <v>#VALUE!</v>
      </c>
      <c r="D32" t="str">
        <f>'Envio de CTes'!K26</f>
        <v>Boleto-</v>
      </c>
    </row>
    <row r="33" spans="3:4">
      <c r="C33" t="e">
        <f>'Envio de CTes'!#REF!</f>
        <v>#REF!</v>
      </c>
      <c r="D33" t="e">
        <f>'Envio de CTes'!#REF!</f>
        <v>#REF!</v>
      </c>
    </row>
    <row r="34" spans="3:4">
      <c r="C34" t="e">
        <f>'Envio de CTes'!N27</f>
        <v>#VALUE!</v>
      </c>
      <c r="D34" t="str">
        <f>'Envio de CTes'!K27</f>
        <v>Boleto-</v>
      </c>
    </row>
    <row r="35" spans="3:4">
      <c r="C35" t="e">
        <f>'Envio de CTes'!N28</f>
        <v>#VALUE!</v>
      </c>
      <c r="D35" t="str">
        <f>'Envio de CTes'!K28</f>
        <v>Boleto-</v>
      </c>
    </row>
    <row r="36" spans="3:4">
      <c r="C36" t="e">
        <f>'Envio de CTes'!N29</f>
        <v>#VALUE!</v>
      </c>
      <c r="D36" t="str">
        <f>'Envio de CTes'!K29</f>
        <v>Boleto-</v>
      </c>
    </row>
    <row r="37" spans="3:4">
      <c r="C37" t="e">
        <f>'Envio de CTes'!N30</f>
        <v>#VALUE!</v>
      </c>
      <c r="D37" t="str">
        <f>'Envio de CTes'!K30</f>
        <v>Boleto-</v>
      </c>
    </row>
    <row r="38" spans="3:4">
      <c r="C38" t="e">
        <f>'Envio de CTes'!N31</f>
        <v>#VALUE!</v>
      </c>
      <c r="D38" t="str">
        <f>'Envio de CTes'!K31</f>
        <v>Boleto-</v>
      </c>
    </row>
    <row r="39" spans="3:4">
      <c r="C39" t="e">
        <f>'Envio de CTes'!N32</f>
        <v>#VALUE!</v>
      </c>
      <c r="D39" t="str">
        <f>'Envio de CTes'!K32</f>
        <v>Boleto-</v>
      </c>
    </row>
    <row r="40" spans="3:4">
      <c r="C40" t="e">
        <f>'Envio de CTes'!N33</f>
        <v>#VALUE!</v>
      </c>
      <c r="D40" t="str">
        <f>'Envio de CTes'!K33</f>
        <v>Boleto-</v>
      </c>
    </row>
    <row r="41" spans="3:4">
      <c r="C41" t="e">
        <f>'Envio de CTes'!N34</f>
        <v>#VALUE!</v>
      </c>
      <c r="D41" t="str">
        <f>'Envio de CTes'!K34</f>
        <v>Boleto-</v>
      </c>
    </row>
    <row r="42" spans="3:4">
      <c r="C42" t="e">
        <f>'Envio de CTes'!N35</f>
        <v>#VALUE!</v>
      </c>
      <c r="D42" t="str">
        <f>'Envio de CTes'!K35</f>
        <v>Boleto-</v>
      </c>
    </row>
    <row r="43" spans="3:4">
      <c r="C43" t="e">
        <f>'Envio de CTes'!N36</f>
        <v>#VALUE!</v>
      </c>
      <c r="D43" t="str">
        <f>'Envio de CTes'!K36</f>
        <v>Boleto-</v>
      </c>
    </row>
    <row r="44" spans="3:4">
      <c r="C44" t="e">
        <f>'Envio de CTes'!N37</f>
        <v>#VALUE!</v>
      </c>
      <c r="D44" t="str">
        <f>'Envio de CTes'!K37</f>
        <v>Boleto-</v>
      </c>
    </row>
    <row r="45" spans="3:4">
      <c r="C45" t="e">
        <f>'Envio de CTes'!N38</f>
        <v>#VALUE!</v>
      </c>
      <c r="D45" t="str">
        <f>'Envio de CTes'!K38</f>
        <v>Boleto-</v>
      </c>
    </row>
    <row r="46" spans="3:4">
      <c r="C46" t="e">
        <f>'Envio de CTes'!N39</f>
        <v>#VALUE!</v>
      </c>
      <c r="D46" t="str">
        <f>'Envio de CTes'!K39</f>
        <v>Boleto-</v>
      </c>
    </row>
    <row r="47" spans="3:4">
      <c r="C47" t="e">
        <f>'Envio de CTes'!N40</f>
        <v>#VALUE!</v>
      </c>
      <c r="D47" t="str">
        <f>'Envio de CTes'!K40</f>
        <v>Boleto-</v>
      </c>
    </row>
    <row r="48" spans="3:4">
      <c r="C48" t="e">
        <f>'Envio de CTes'!N41</f>
        <v>#VALUE!</v>
      </c>
      <c r="D48" t="str">
        <f>'Envio de CTes'!K41</f>
        <v>Boleto-</v>
      </c>
    </row>
    <row r="49" spans="3:4">
      <c r="C49" t="e">
        <f>'Envio de CTes'!N42</f>
        <v>#VALUE!</v>
      </c>
      <c r="D49" t="str">
        <f>'Envio de CTes'!K42</f>
        <v>Boleto-</v>
      </c>
    </row>
    <row r="50" spans="3:4">
      <c r="C50" t="e">
        <f>'Envio de CTes'!N43</f>
        <v>#VALUE!</v>
      </c>
      <c r="D50" t="str">
        <f>'Envio de CTes'!K43</f>
        <v>Boleto-</v>
      </c>
    </row>
    <row r="51" spans="3:4">
      <c r="C51" t="e">
        <f>'Envio de CTes'!N44</f>
        <v>#VALUE!</v>
      </c>
      <c r="D51" t="str">
        <f>'Envio de CTes'!K44</f>
        <v>Boleto-</v>
      </c>
    </row>
    <row r="52" spans="3:4">
      <c r="C52" t="e">
        <f>'Envio de CTes'!N45</f>
        <v>#VALUE!</v>
      </c>
      <c r="D52" t="str">
        <f>'Envio de CTes'!K45</f>
        <v>Boleto-</v>
      </c>
    </row>
    <row r="53" spans="3:4">
      <c r="C53" t="e">
        <f>'Envio de CTes'!N46</f>
        <v>#VALUE!</v>
      </c>
      <c r="D53" t="str">
        <f>'Envio de CTes'!K46</f>
        <v>Boleto-</v>
      </c>
    </row>
    <row r="54" spans="3:4">
      <c r="C54" t="e">
        <f>'Envio de CTes'!#REF!</f>
        <v>#REF!</v>
      </c>
      <c r="D54" t="e">
        <f>'Envio de CTes'!#REF!</f>
        <v>#REF!</v>
      </c>
    </row>
    <row r="55" spans="3:4">
      <c r="C55" t="e">
        <f>'Envio de CTes'!N47</f>
        <v>#VALUE!</v>
      </c>
      <c r="D55" t="str">
        <f>'Envio de CTes'!K47</f>
        <v>Boleto-</v>
      </c>
    </row>
    <row r="56" spans="3:4">
      <c r="C56" t="e">
        <f>'Envio de CTes'!N48</f>
        <v>#VALUE!</v>
      </c>
      <c r="D56" t="str">
        <f>'Envio de CTes'!K48</f>
        <v>Boleto-</v>
      </c>
    </row>
    <row r="57" spans="3:4">
      <c r="C57" t="e">
        <f>'Envio de CTes'!N49</f>
        <v>#VALUE!</v>
      </c>
      <c r="D57" t="str">
        <f>'Envio de CTes'!K49</f>
        <v>Boleto-</v>
      </c>
    </row>
    <row r="58" spans="3:4">
      <c r="C58" t="e">
        <f>'Envio de CTes'!N50</f>
        <v>#VALUE!</v>
      </c>
      <c r="D58" t="str">
        <f>'Envio de CTes'!K50</f>
        <v>Boleto-</v>
      </c>
    </row>
    <row r="59" spans="3:4">
      <c r="C59" t="e">
        <f>'Envio de CTes'!N51</f>
        <v>#VALUE!</v>
      </c>
      <c r="D59" t="str">
        <f>'Envio de CTes'!K51</f>
        <v>Boleto-</v>
      </c>
    </row>
    <row r="60" spans="3:4">
      <c r="C60" t="e">
        <f>'Envio de CTes'!N52</f>
        <v>#VALUE!</v>
      </c>
      <c r="D60" t="str">
        <f>'Envio de CTes'!K52</f>
        <v>Boleto-</v>
      </c>
    </row>
    <row r="61" spans="3:4">
      <c r="C61" t="e">
        <f>'Envio de CTes'!N53</f>
        <v>#VALUE!</v>
      </c>
      <c r="D61" t="str">
        <f>'Envio de CTes'!K53</f>
        <v>Boleto-</v>
      </c>
    </row>
    <row r="62" spans="3:4">
      <c r="C62" t="e">
        <f>'Envio de CTes'!N54</f>
        <v>#VALUE!</v>
      </c>
      <c r="D62" t="str">
        <f>'Envio de CTes'!K54</f>
        <v>Boleto-</v>
      </c>
    </row>
    <row r="63" spans="3:4">
      <c r="C63" t="e">
        <f>'Envio de CTes'!N55</f>
        <v>#VALUE!</v>
      </c>
      <c r="D63" t="str">
        <f>'Envio de CTes'!K55</f>
        <v>Boleto-</v>
      </c>
    </row>
    <row r="64" spans="3:4">
      <c r="C64" t="e">
        <f>'Envio de CTes'!N56</f>
        <v>#VALUE!</v>
      </c>
      <c r="D64" t="str">
        <f>'Envio de CTes'!K56</f>
        <v>Boleto-</v>
      </c>
    </row>
    <row r="65" spans="3:4">
      <c r="C65" t="e">
        <f>'Envio de CTes'!N57</f>
        <v>#VALUE!</v>
      </c>
      <c r="D65" t="str">
        <f>'Envio de CTes'!K57</f>
        <v>Boleto-</v>
      </c>
    </row>
    <row r="66" spans="3:4">
      <c r="C66" t="e">
        <f>'Envio de CTes'!N58</f>
        <v>#VALUE!</v>
      </c>
      <c r="D66" t="str">
        <f>'Envio de CTes'!K58</f>
        <v>Boleto-</v>
      </c>
    </row>
    <row r="67" spans="3:4">
      <c r="C67" t="e">
        <f>'Envio de CTes'!N59</f>
        <v>#VALUE!</v>
      </c>
      <c r="D67" t="str">
        <f>'Envio de CTes'!K59</f>
        <v>Boleto-</v>
      </c>
    </row>
    <row r="68" spans="3:4">
      <c r="C68" t="e">
        <f>'Envio de CTes'!N60</f>
        <v>#VALUE!</v>
      </c>
      <c r="D68" t="str">
        <f>'Envio de CTes'!K60</f>
        <v>Boleto-</v>
      </c>
    </row>
    <row r="69" spans="3:4">
      <c r="C69" t="e">
        <f>'Envio de CTes'!N61</f>
        <v>#VALUE!</v>
      </c>
      <c r="D69" t="str">
        <f>'Envio de CTes'!K61</f>
        <v>Boleto-</v>
      </c>
    </row>
    <row r="70" spans="3:4">
      <c r="C70" t="e">
        <f>'Envio de CTes'!N62</f>
        <v>#VALUE!</v>
      </c>
      <c r="D70" t="str">
        <f>'Envio de CTes'!K62</f>
        <v>Boleto-</v>
      </c>
    </row>
    <row r="71" spans="3:4">
      <c r="C71" t="e">
        <f>'Envio de CTes'!N63</f>
        <v>#VALUE!</v>
      </c>
      <c r="D71" t="str">
        <f>'Envio de CTes'!K63</f>
        <v>Boleto-</v>
      </c>
    </row>
    <row r="72" spans="3:4">
      <c r="C72" t="e">
        <f>'Envio de CTes'!N64</f>
        <v>#VALUE!</v>
      </c>
      <c r="D72" t="str">
        <f>'Envio de CTes'!K64</f>
        <v>Boleto-</v>
      </c>
    </row>
    <row r="73" spans="3:4">
      <c r="C73" t="e">
        <f>'Envio de CTes'!N65</f>
        <v>#VALUE!</v>
      </c>
      <c r="D73" t="str">
        <f>'Envio de CTes'!K65</f>
        <v>Boleto-</v>
      </c>
    </row>
    <row r="74" spans="3:4">
      <c r="C74" t="e">
        <f>'Envio de CTes'!N66</f>
        <v>#VALUE!</v>
      </c>
      <c r="D74" t="str">
        <f>'Envio de CTes'!K66</f>
        <v>Boleto-</v>
      </c>
    </row>
    <row r="75" spans="3:4">
      <c r="C75" t="e">
        <f>'Envio de CTes'!N67</f>
        <v>#VALUE!</v>
      </c>
      <c r="D75" t="str">
        <f>'Envio de CTes'!K67</f>
        <v>Boleto-</v>
      </c>
    </row>
    <row r="76" spans="3:4">
      <c r="C76" t="e">
        <f>'Envio de CTes'!N68</f>
        <v>#VALUE!</v>
      </c>
      <c r="D76" t="str">
        <f>'Envio de CTes'!K68</f>
        <v>Boleto-</v>
      </c>
    </row>
    <row r="77" spans="3:4">
      <c r="C77" t="e">
        <f>'Envio de CTes'!N69</f>
        <v>#VALUE!</v>
      </c>
      <c r="D77" t="str">
        <f>'Envio de CTes'!K69</f>
        <v>Boleto-</v>
      </c>
    </row>
    <row r="78" spans="3:4">
      <c r="C78" t="e">
        <f>'Envio de CTes'!N70</f>
        <v>#VALUE!</v>
      </c>
      <c r="D78" t="str">
        <f>'Envio de CTes'!K70</f>
        <v>Boleto-</v>
      </c>
    </row>
    <row r="79" spans="3:4">
      <c r="C79" t="e">
        <f>'Envio de CTes'!N71</f>
        <v>#VALUE!</v>
      </c>
      <c r="D79" t="str">
        <f>'Envio de CTes'!K71</f>
        <v>Boleto-</v>
      </c>
    </row>
    <row r="80" spans="3:4">
      <c r="C80" t="e">
        <f>'Envio de CTes'!N72</f>
        <v>#VALUE!</v>
      </c>
      <c r="D80" t="str">
        <f>'Envio de CTes'!K72</f>
        <v>Boleto-</v>
      </c>
    </row>
    <row r="81" spans="3:4">
      <c r="C81" t="e">
        <f>'Envio de CTes'!N73</f>
        <v>#VALUE!</v>
      </c>
      <c r="D81" t="str">
        <f>'Envio de CTes'!K73</f>
        <v>Boleto-</v>
      </c>
    </row>
    <row r="82" spans="3:4">
      <c r="C82" t="e">
        <f>'Envio de CTes'!N74</f>
        <v>#VALUE!</v>
      </c>
      <c r="D82" t="str">
        <f>'Envio de CTes'!K74</f>
        <v>Boleto-</v>
      </c>
    </row>
    <row r="83" spans="3:4">
      <c r="C83" t="e">
        <f>'Envio de CTes'!N75</f>
        <v>#VALUE!</v>
      </c>
      <c r="D83" t="str">
        <f>'Envio de CTes'!K75</f>
        <v>Boleto-</v>
      </c>
    </row>
    <row r="84" spans="3:4">
      <c r="C84" t="e">
        <f>'Envio de CTes'!N76</f>
        <v>#VALUE!</v>
      </c>
      <c r="D84" t="str">
        <f>'Envio de CTes'!K76</f>
        <v>Boleto-</v>
      </c>
    </row>
    <row r="85" spans="3:4">
      <c r="C85" t="e">
        <f>'Envio de CTes'!N78</f>
        <v>#VALUE!</v>
      </c>
      <c r="D85" t="str">
        <f>'Envio de CTes'!K78</f>
        <v>Boleto-</v>
      </c>
    </row>
    <row r="86" spans="3:4">
      <c r="C86" t="e">
        <f>'Envio de CTes'!N79</f>
        <v>#VALUE!</v>
      </c>
      <c r="D86" t="str">
        <f>'Envio de CTes'!K79</f>
        <v>Boleto-</v>
      </c>
    </row>
    <row r="87" spans="3:4">
      <c r="C87" t="e">
        <f>'Envio de CTes'!N80</f>
        <v>#VALUE!</v>
      </c>
      <c r="D87" t="str">
        <f>'Envio de CTes'!K80</f>
        <v>Boleto-</v>
      </c>
    </row>
    <row r="88" spans="3:4">
      <c r="C88" t="e">
        <f>'Envio de CTes'!N81</f>
        <v>#VALUE!</v>
      </c>
      <c r="D88" t="str">
        <f>'Envio de CTes'!K81</f>
        <v>Boleto-</v>
      </c>
    </row>
    <row r="89" spans="3:4">
      <c r="C89" t="e">
        <f>'Envio de CTes'!N82</f>
        <v>#VALUE!</v>
      </c>
      <c r="D89" t="str">
        <f>'Envio de CTes'!K82</f>
        <v>Boleto-</v>
      </c>
    </row>
    <row r="90" spans="3:4">
      <c r="C90" t="e">
        <f>'Envio de CTes'!N83</f>
        <v>#VALUE!</v>
      </c>
      <c r="D90" t="str">
        <f>'Envio de CTes'!K83</f>
        <v>Boleto-</v>
      </c>
    </row>
    <row r="91" spans="3:4">
      <c r="C91" t="e">
        <f>'Envio de CTes'!N84</f>
        <v>#VALUE!</v>
      </c>
      <c r="D91" t="str">
        <f>'Envio de CTes'!K84</f>
        <v>Boleto-</v>
      </c>
    </row>
    <row r="92" spans="3:4">
      <c r="C92" t="e">
        <f>'Envio de CTes'!N85</f>
        <v>#VALUE!</v>
      </c>
      <c r="D92" t="str">
        <f>'Envio de CTes'!K85</f>
        <v>Boleto-</v>
      </c>
    </row>
    <row r="93" spans="3:4">
      <c r="C93" t="e">
        <f>'Envio de CTes'!N86</f>
        <v>#VALUE!</v>
      </c>
      <c r="D93" t="str">
        <f>'Envio de CTes'!K86</f>
        <v>Boleto-</v>
      </c>
    </row>
    <row r="94" spans="3:4">
      <c r="C94" t="e">
        <f>'Envio de CTes'!N87</f>
        <v>#VALUE!</v>
      </c>
      <c r="D94" t="str">
        <f>'Envio de CTes'!K87</f>
        <v>Boleto-</v>
      </c>
    </row>
    <row r="95" spans="3:4">
      <c r="C95" t="e">
        <f>'Envio de CTes'!N88</f>
        <v>#VALUE!</v>
      </c>
      <c r="D95" t="str">
        <f>'Envio de CTes'!K88</f>
        <v>Boleto-</v>
      </c>
    </row>
    <row r="96" spans="3:4">
      <c r="C96" t="e">
        <f>'Envio de CTes'!N89</f>
        <v>#VALUE!</v>
      </c>
      <c r="D96" t="str">
        <f>'Envio de CTes'!K89</f>
        <v>Boleto-</v>
      </c>
    </row>
    <row r="97" spans="3:4">
      <c r="C97" t="e">
        <f>'Envio de CTes'!N90</f>
        <v>#VALUE!</v>
      </c>
      <c r="D97" t="str">
        <f>'Envio de CTes'!K90</f>
        <v>Boleto-</v>
      </c>
    </row>
    <row r="98" spans="3:4">
      <c r="C98" t="e">
        <f>'Envio de CTes'!N91</f>
        <v>#VALUE!</v>
      </c>
      <c r="D98" t="str">
        <f>'Envio de CTes'!K91</f>
        <v>Boleto-</v>
      </c>
    </row>
    <row r="99" spans="3:4">
      <c r="C99" t="e">
        <f>'Envio de CTes'!N92</f>
        <v>#VALUE!</v>
      </c>
      <c r="D99" t="str">
        <f>'Envio de CTes'!K92</f>
        <v>Boleto-</v>
      </c>
    </row>
    <row r="100" spans="3:4">
      <c r="C100" t="e">
        <f>'Envio de CTes'!N93</f>
        <v>#VALUE!</v>
      </c>
      <c r="D100" t="str">
        <f>'Envio de CTes'!K93</f>
        <v>Boleto-</v>
      </c>
    </row>
    <row r="101" spans="3:4">
      <c r="C101" t="e">
        <f>'Envio de CTes'!N94</f>
        <v>#VALUE!</v>
      </c>
      <c r="D101" t="str">
        <f>'Envio de CTes'!K94</f>
        <v>Boleto-</v>
      </c>
    </row>
    <row r="102" spans="3:4">
      <c r="C102" t="e">
        <f>'Envio de CTes'!N95</f>
        <v>#VALUE!</v>
      </c>
      <c r="D102" t="str">
        <f>'Envio de CTes'!K95</f>
        <v>Boleto-</v>
      </c>
    </row>
    <row r="103" spans="3:4">
      <c r="C103" t="e">
        <f>'Envio de CTes'!N96</f>
        <v>#VALUE!</v>
      </c>
      <c r="D103" t="str">
        <f>'Envio de CTes'!K96</f>
        <v>Boleto-</v>
      </c>
    </row>
    <row r="104" spans="3:4">
      <c r="C104" t="e">
        <f>'Envio de CTes'!N97</f>
        <v>#VALUE!</v>
      </c>
      <c r="D104" t="str">
        <f>'Envio de CTes'!K97</f>
        <v>Boleto-</v>
      </c>
    </row>
    <row r="105" spans="3:4">
      <c r="C105" t="e">
        <f>'Envio de CTes'!N98</f>
        <v>#VALUE!</v>
      </c>
      <c r="D105" t="str">
        <f>'Envio de CTes'!K98</f>
        <v>Boleto-</v>
      </c>
    </row>
    <row r="106" spans="3:4">
      <c r="C106" t="e">
        <f>'Envio de CTes'!N99</f>
        <v>#VALUE!</v>
      </c>
      <c r="D106" t="str">
        <f>'Envio de CTes'!K99</f>
        <v>Boleto-</v>
      </c>
    </row>
    <row r="107" spans="3:4">
      <c r="C107" t="e">
        <f>'Envio de CTes'!N100</f>
        <v>#VALUE!</v>
      </c>
      <c r="D107" t="str">
        <f>'Envio de CTes'!K100</f>
        <v>Boleto-</v>
      </c>
    </row>
    <row r="108" spans="3:4">
      <c r="C108" t="e">
        <f>'Envio de CTes'!N101</f>
        <v>#VALUE!</v>
      </c>
      <c r="D108" t="str">
        <f>'Envio de CTes'!K101</f>
        <v>Boleto-</v>
      </c>
    </row>
    <row r="109" spans="3:4">
      <c r="C109" t="e">
        <f>'Envio de CTes'!N102</f>
        <v>#VALUE!</v>
      </c>
      <c r="D109" t="str">
        <f>'Envio de CTes'!K102</f>
        <v>Boleto-</v>
      </c>
    </row>
    <row r="110" spans="3:4">
      <c r="C110" t="e">
        <f>'Envio de CTes'!N103</f>
        <v>#VALUE!</v>
      </c>
      <c r="D110" t="str">
        <f>'Envio de CTes'!K103</f>
        <v>Boleto-</v>
      </c>
    </row>
    <row r="111" spans="3:4">
      <c r="C111" t="e">
        <f>'Envio de CTes'!N104</f>
        <v>#VALUE!</v>
      </c>
      <c r="D111" t="str">
        <f>'Envio de CTes'!K104</f>
        <v>Boleto-</v>
      </c>
    </row>
    <row r="112" spans="3:4">
      <c r="C112" t="e">
        <f>'Envio de CTes'!N105</f>
        <v>#VALUE!</v>
      </c>
      <c r="D112" t="str">
        <f>'Envio de CTes'!K105</f>
        <v>Boleto-</v>
      </c>
    </row>
    <row r="113" spans="3:4">
      <c r="C113" t="e">
        <f>'Envio de CTes'!N106</f>
        <v>#VALUE!</v>
      </c>
      <c r="D113" t="str">
        <f>'Envio de CTes'!K106</f>
        <v>Boleto-</v>
      </c>
    </row>
    <row r="114" spans="3:4">
      <c r="C114" t="e">
        <f>'Envio de CTes'!N107</f>
        <v>#VALUE!</v>
      </c>
      <c r="D114" t="str">
        <f>'Envio de CTes'!K107</f>
        <v>Boleto-</v>
      </c>
    </row>
    <row r="115" spans="3:4">
      <c r="C115" t="e">
        <f>'Envio de CTes'!N108</f>
        <v>#VALUE!</v>
      </c>
      <c r="D115" t="str">
        <f>'Envio de CTes'!K108</f>
        <v>Boleto-</v>
      </c>
    </row>
    <row r="116" spans="3:4">
      <c r="C116" t="e">
        <f>'Envio de CTes'!N109</f>
        <v>#VALUE!</v>
      </c>
      <c r="D116" t="str">
        <f>'Envio de CTes'!K109</f>
        <v>Boleto-</v>
      </c>
    </row>
    <row r="117" spans="3:4">
      <c r="C117" t="e">
        <f>'Envio de CTes'!N110</f>
        <v>#VALUE!</v>
      </c>
      <c r="D117" t="str">
        <f>'Envio de CTes'!K110</f>
        <v>Boleto-</v>
      </c>
    </row>
    <row r="118" spans="3:4">
      <c r="C118" t="e">
        <f>'Envio de CTes'!N111</f>
        <v>#VALUE!</v>
      </c>
      <c r="D118" t="str">
        <f>'Envio de CTes'!K111</f>
        <v>Boleto-</v>
      </c>
    </row>
    <row r="119" spans="3:4">
      <c r="C119" t="e">
        <f>'Envio de CTes'!N112</f>
        <v>#VALUE!</v>
      </c>
      <c r="D119" t="str">
        <f>'Envio de CTes'!K112</f>
        <v>Boleto-</v>
      </c>
    </row>
    <row r="120" spans="3:4">
      <c r="C120" t="e">
        <f>'Envio de CTes'!N113</f>
        <v>#VALUE!</v>
      </c>
      <c r="D120" t="str">
        <f>'Envio de CTes'!K113</f>
        <v>Boleto-</v>
      </c>
    </row>
    <row r="121" spans="3:4">
      <c r="C121" t="e">
        <f>'Envio de CTes'!N114</f>
        <v>#VALUE!</v>
      </c>
      <c r="D121" t="str">
        <f>'Envio de CTes'!K114</f>
        <v>Boleto-</v>
      </c>
    </row>
    <row r="122" spans="3:4">
      <c r="C122" t="e">
        <f>'Envio de CTes'!N115</f>
        <v>#VALUE!</v>
      </c>
      <c r="D122" t="str">
        <f>'Envio de CTes'!K115</f>
        <v>Boleto-</v>
      </c>
    </row>
    <row r="123" spans="3:4">
      <c r="C123" t="e">
        <f>'Envio de CTes'!N116</f>
        <v>#VALUE!</v>
      </c>
      <c r="D123" t="str">
        <f>'Envio de CTes'!K116</f>
        <v>Boleto-</v>
      </c>
    </row>
    <row r="124" spans="3:4">
      <c r="C124" t="e">
        <f>'Envio de CTes'!N117</f>
        <v>#VALUE!</v>
      </c>
      <c r="D124" t="str">
        <f>'Envio de CTes'!K117</f>
        <v>Boleto-</v>
      </c>
    </row>
    <row r="125" spans="3:4">
      <c r="C125" t="e">
        <f>'Envio de CTes'!N118</f>
        <v>#VALUE!</v>
      </c>
      <c r="D125" t="str">
        <f>'Envio de CTes'!K118</f>
        <v>Boleto-</v>
      </c>
    </row>
    <row r="126" spans="3:4">
      <c r="C126" t="e">
        <f>'Envio de CTes'!N119</f>
        <v>#VALUE!</v>
      </c>
      <c r="D126" t="str">
        <f>'Envio de CTes'!K119</f>
        <v>Boleto-</v>
      </c>
    </row>
    <row r="127" spans="3:4">
      <c r="C127" t="e">
        <f>'Envio de CTes'!N120</f>
        <v>#VALUE!</v>
      </c>
      <c r="D127" t="str">
        <f>'Envio de CTes'!K120</f>
        <v>Boleto-</v>
      </c>
    </row>
    <row r="128" spans="3:4">
      <c r="C128" t="e">
        <f>'Envio de CTes'!N121</f>
        <v>#VALUE!</v>
      </c>
      <c r="D128" t="str">
        <f>'Envio de CTes'!K121</f>
        <v>Boleto-</v>
      </c>
    </row>
    <row r="129" spans="3:4">
      <c r="C129" t="e">
        <f>'Envio de CTes'!N122</f>
        <v>#VALUE!</v>
      </c>
      <c r="D129" t="str">
        <f>'Envio de CTes'!K122</f>
        <v>Boleto-</v>
      </c>
    </row>
    <row r="130" spans="3:4">
      <c r="C130" t="e">
        <f>'Envio de CTes'!N123</f>
        <v>#VALUE!</v>
      </c>
      <c r="D130" t="str">
        <f>'Envio de CTes'!K123</f>
        <v>Boleto-</v>
      </c>
    </row>
    <row r="131" spans="3:4">
      <c r="C131" t="e">
        <f>'Envio de CTes'!N124</f>
        <v>#VALUE!</v>
      </c>
      <c r="D131" t="str">
        <f>'Envio de CTes'!K124</f>
        <v>Boleto-</v>
      </c>
    </row>
    <row r="132" spans="3:4">
      <c r="C132" t="e">
        <f>'Envio de CTes'!N125</f>
        <v>#VALUE!</v>
      </c>
      <c r="D132" t="str">
        <f>'Envio de CTes'!K125</f>
        <v>Boleto-</v>
      </c>
    </row>
    <row r="133" spans="3:4">
      <c r="C133" t="e">
        <f>'Envio de CTes'!N126</f>
        <v>#VALUE!</v>
      </c>
      <c r="D133" t="str">
        <f>'Envio de CTes'!K126</f>
        <v>Boleto-</v>
      </c>
    </row>
    <row r="134" spans="3:4">
      <c r="C134" t="e">
        <f>'Envio de CTes'!N127</f>
        <v>#VALUE!</v>
      </c>
      <c r="D134" t="str">
        <f>'Envio de CTes'!K127</f>
        <v>Boleto-</v>
      </c>
    </row>
    <row r="135" spans="3:4">
      <c r="C135" t="e">
        <f>'Envio de CTes'!N128</f>
        <v>#VALUE!</v>
      </c>
      <c r="D135" t="str">
        <f>'Envio de CTes'!K128</f>
        <v>Boleto-</v>
      </c>
    </row>
    <row r="136" spans="3:4">
      <c r="C136" t="e">
        <f>'Envio de CTes'!N129</f>
        <v>#VALUE!</v>
      </c>
      <c r="D136" t="str">
        <f>'Envio de CTes'!K129</f>
        <v>Boleto-</v>
      </c>
    </row>
    <row r="137" spans="3:4">
      <c r="C137" t="e">
        <f>'Envio de CTes'!N130</f>
        <v>#VALUE!</v>
      </c>
      <c r="D137" t="str">
        <f>'Envio de CTes'!K130</f>
        <v>Boleto-</v>
      </c>
    </row>
    <row r="138" spans="3:4">
      <c r="C138" t="e">
        <f>'Envio de CTes'!N131</f>
        <v>#VALUE!</v>
      </c>
      <c r="D138" t="str">
        <f>'Envio de CTes'!K131</f>
        <v>Boleto-</v>
      </c>
    </row>
    <row r="139" spans="3:4">
      <c r="C139" t="e">
        <f>'Envio de CTes'!N132</f>
        <v>#VALUE!</v>
      </c>
      <c r="D139" t="str">
        <f>'Envio de CTes'!K132</f>
        <v>Boleto-</v>
      </c>
    </row>
    <row r="140" spans="3:4">
      <c r="C140" t="e">
        <f>'Envio de CTes'!N133</f>
        <v>#VALUE!</v>
      </c>
      <c r="D140" t="str">
        <f>'Envio de CTes'!K133</f>
        <v>Boleto-</v>
      </c>
    </row>
    <row r="141" spans="3:4">
      <c r="C141">
        <f>'Envio de CTes'!N134</f>
        <v>0</v>
      </c>
      <c r="D141">
        <f>'Envio de CTes'!K134</f>
        <v>0</v>
      </c>
    </row>
  </sheetData>
  <sortState xmlns:xlrd2="http://schemas.microsoft.com/office/spreadsheetml/2017/richdata2" ref="F2:G15">
    <sortCondition ref="F2:F15"/>
    <sortCondition ref="G2:G15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4B75F-7E86-4BDD-85A7-CE2C12AEB5B8}">
  <sheetPr codeName="Planilha3"/>
  <dimension ref="A1:D191"/>
  <sheetViews>
    <sheetView showZeros="0" topLeftCell="A41" workbookViewId="0">
      <selection activeCell="A53" sqref="A53:XFD53"/>
    </sheetView>
  </sheetViews>
  <sheetFormatPr defaultRowHeight="15"/>
  <cols>
    <col min="1" max="1" width="27.85546875" customWidth="1"/>
    <col min="2" max="2" width="26.28515625" customWidth="1"/>
    <col min="3" max="3" width="122.42578125" customWidth="1"/>
    <col min="4" max="16384" width="9.140625" style="3"/>
  </cols>
  <sheetData>
    <row r="1" spans="1:4" ht="16.5">
      <c r="A1" s="5" t="s">
        <v>2</v>
      </c>
      <c r="B1" s="5" t="s">
        <v>1</v>
      </c>
      <c r="C1" s="5" t="s">
        <v>5</v>
      </c>
    </row>
    <row r="2" spans="1:4" ht="16.5">
      <c r="A2" t="str">
        <f>IFERROR(VLOOKUP(B2,'[1]Catálogo de e-mails'!$A$2:$B$499,2,0),"Nome não Cadastrado")</f>
        <v>CS BRASIL - São José</v>
      </c>
      <c r="B2" s="6" t="str">
        <f>'Envio de CTes'!B3</f>
        <v>27595780000620</v>
      </c>
      <c r="C2" s="6" t="str">
        <f>IFERROR(VLOOKUP(B2,'[1]Catálogo de e-mails'!$C$2:$D$398,2,0),"Nome não Cadastrado")</f>
        <v>diego.bittencourt@transgabardo.com.br; luana.jacintho@csbrasilservicos.com.br; cobranca2@transgabardo.com.br; gabriel.chaves@transgabardo.com.br; luciana.ramaioli@csbrasilservicos.com.br</v>
      </c>
      <c r="D2" s="3" t="s">
        <v>6</v>
      </c>
    </row>
    <row r="3" spans="1:4" ht="16.5">
      <c r="A3" t="str">
        <f>IFERROR(VLOOKUP(B3,'[1]Catálogo de e-mails'!$A$2:$B$499,2,0),"Nome não Cadastrado")</f>
        <v>CS BRASIL - São José</v>
      </c>
      <c r="B3" s="6" t="str">
        <f>'Envio de CTes'!B4</f>
        <v>27595780000620</v>
      </c>
      <c r="C3" s="6" t="str">
        <f>IFERROR(VLOOKUP(B3,'[1]Catálogo de e-mails'!$C$2:$D$398,2,0),"Nome não Cadastrado")</f>
        <v>diego.bittencourt@transgabardo.com.br; luana.jacintho@csbrasilservicos.com.br; cobranca2@transgabardo.com.br; gabriel.chaves@transgabardo.com.br; luciana.ramaioli@csbrasilservicos.com.br</v>
      </c>
      <c r="D3" s="3" t="s">
        <v>6</v>
      </c>
    </row>
    <row r="4" spans="1:4" ht="16.5">
      <c r="A4" t="str">
        <f>IFERROR(VLOOKUP(B4,'[1]Catálogo de e-mails'!$A$2:$B$499,2,0),"Nome não Cadastrado")</f>
        <v xml:space="preserve">TAI MOTORS </v>
      </c>
      <c r="B4" s="6" t="str">
        <f>'Envio de CTes'!B5</f>
        <v>09272047000502</v>
      </c>
      <c r="C4" s="6" t="str">
        <f>IFERROR(VLOOKUP(B4,'[1]Catálogo de e-mails'!$C$2:$D$398,2,0),"Nome não Cadastrado")</f>
        <v>admvendas.taic@grupolider.com.br; gabardoes@transgabardo.com.br</v>
      </c>
      <c r="D4" s="3" t="s">
        <v>6</v>
      </c>
    </row>
    <row r="5" spans="1:4" ht="16.5">
      <c r="A5" t="str">
        <f>IFERROR(VLOOKUP(B5,'[1]Catálogo de e-mails'!$A$2:$B$499,2,0),"Nome não Cadastrado")</f>
        <v>Meta Central de Veiculos</v>
      </c>
      <c r="B5" s="6" t="str">
        <f>'Envio de CTes'!B6</f>
        <v>39826854000167</v>
      </c>
      <c r="C5" s="6" t="str">
        <f>IFERROR(VLOOKUP(B5,'[1]Catálogo de e-mails'!$C$2:$D$398,2,0),"Nome não Cadastrado")</f>
        <v>financeiro@metacs.com.br; kezia.aguiar@metacs.com.br; gabardoes@transgabardo.com.br</v>
      </c>
      <c r="D5" s="3" t="s">
        <v>6</v>
      </c>
    </row>
    <row r="6" spans="1:4" ht="16.5">
      <c r="A6" t="str">
        <f>IFERROR(VLOOKUP(B6,'[1]Catálogo de e-mails'!$A$2:$B$499,2,0),"Nome não Cadastrado")</f>
        <v>Meta Central de Veiculos</v>
      </c>
      <c r="B6" s="6" t="str">
        <f>'Envio de CTes'!B6</f>
        <v>39826854000167</v>
      </c>
      <c r="C6" s="6" t="str">
        <f>IFERROR(VLOOKUP(B6,'[1]Catálogo de e-mails'!$C$2:$D$398,2,0),"Nome não Cadastrado")</f>
        <v>financeiro@metacs.com.br; kezia.aguiar@metacs.com.br; gabardoes@transgabardo.com.br</v>
      </c>
      <c r="D6" s="3" t="s">
        <v>6</v>
      </c>
    </row>
    <row r="7" spans="1:4" ht="16.5">
      <c r="A7" t="str">
        <f>IFERROR(VLOOKUP(B7,'[1]Catálogo de e-mails'!$A$2:$B$499,2,0),"Nome não Cadastrado")</f>
        <v>2Japão</v>
      </c>
      <c r="B7" s="6" t="str">
        <f>'Envio de CTes'!B7</f>
        <v>11170197000123</v>
      </c>
      <c r="C7" s="6" t="str">
        <f>IFERROR(VLOOKUP(B7,'[1]Catálogo de e-mails'!$C$2:$D$398,2,0),"Nome não Cadastrado")</f>
        <v>adm@2japaocaminhoes.com.br; bauer.machado@transgabardo.com.br; gabardopreal3@transgabardo.com.br; gabardopreal.fat3@transgabardo.com.br</v>
      </c>
      <c r="D7" s="3" t="s">
        <v>6</v>
      </c>
    </row>
    <row r="8" spans="1:4" ht="16.5">
      <c r="A8" t="str">
        <f>IFERROR(VLOOKUP(B8,'[1]Catálogo de e-mails'!$A$2:$B$499,2,0),"Nome não Cadastrado")</f>
        <v>Transrio - São Leopoldo</v>
      </c>
      <c r="B8" s="6" t="str">
        <f>'Envio de CTes'!B8</f>
        <v>11726521000902</v>
      </c>
      <c r="C8" s="6" t="str">
        <f>IFERROR(VLOOKUP(B8,'[1]Catálogo de e-mails'!$C$2:$D$398,2,0),"Nome não Cadastrado")</f>
        <v>fabiana.silva@transrio.com.br; milene.cariolato@transrio.com.br; edinara.leite@transrio.com.br; gabardopreal4@transgabardo.com.br; gabriel.chaves@transgabardo.com.br; anelise.couto@transrio.com.br;gabardopreal.fat3@transgabardo.com.br</v>
      </c>
      <c r="D8" s="3" t="s">
        <v>6</v>
      </c>
    </row>
    <row r="9" spans="1:4" ht="16.5">
      <c r="A9" t="str">
        <f>IFERROR(VLOOKUP(B9,'[1]Catálogo de e-mails'!$A$2:$B$499,2,0),"Nome não Cadastrado")</f>
        <v>Transrio - São Leopoldo</v>
      </c>
      <c r="B9" s="6" t="str">
        <f>'Envio de CTes'!B9</f>
        <v>11726521000902</v>
      </c>
      <c r="C9" s="6" t="str">
        <f>IFERROR(VLOOKUP(B9,'[1]Catálogo de e-mails'!$C$2:$D$398,2,0),"Nome não Cadastrado")</f>
        <v>fabiana.silva@transrio.com.br; milene.cariolato@transrio.com.br; edinara.leite@transrio.com.br; gabardopreal4@transgabardo.com.br; gabriel.chaves@transgabardo.com.br; anelise.couto@transrio.com.br;gabardopreal.fat3@transgabardo.com.br</v>
      </c>
      <c r="D9" s="3" t="s">
        <v>6</v>
      </c>
    </row>
    <row r="10" spans="1:4" ht="16.5">
      <c r="A10" t="str">
        <f>IFERROR(VLOOKUP(B10,'[1]Catálogo de e-mails'!$A$2:$B$499,2,0),"Nome não Cadastrado")</f>
        <v>DF Maq - Fortaleza</v>
      </c>
      <c r="B10" s="6" t="str">
        <f>'Envio de CTes'!B10</f>
        <v>26757376000309</v>
      </c>
      <c r="C10" s="6" t="str">
        <f>IFERROR(VLOOKUP(B10,'[1]Catálogo de e-mails'!$C$2:$D$398,2,0),"Nome não Cadastrado")</f>
        <v xml:space="preserve">poliane.torres@dfmaq.com.br; francisco@dfmaq.com.br; rafaela@dafonte.com.br; gabardopreal4@transgabardo.com.br; </v>
      </c>
      <c r="D10" s="3" t="s">
        <v>6</v>
      </c>
    </row>
    <row r="11" spans="1:4" ht="16.5">
      <c r="A11" t="str">
        <f>IFERROR(VLOOKUP(B11,'[1]Catálogo de e-mails'!$A$2:$B$499,2,0),"Nome não Cadastrado")</f>
        <v>Faberge</v>
      </c>
      <c r="B11" s="6" t="str">
        <f>'Envio de CTes'!B11</f>
        <v>06900979000130</v>
      </c>
      <c r="C11" s="6" t="str">
        <f>IFERROR(VLOOKUP(B11,'[1]Catálogo de e-mails'!$C$2:$D$398,2,0),"Nome não Cadastrado")</f>
        <v>paula@grupofaberge.com; comercialsp@transgabardo.com.br</v>
      </c>
      <c r="D11" s="3" t="s">
        <v>6</v>
      </c>
    </row>
    <row r="12" spans="1:4" ht="16.5">
      <c r="A12" t="str">
        <f>IFERROR(VLOOKUP(B12,'[1]Catálogo de e-mails'!$A$2:$B$499,2,0),"Nome não Cadastrado")</f>
        <v>Lets Rent a Car</v>
      </c>
      <c r="B12" s="6" t="str">
        <f>'Envio de CTes'!B12</f>
        <v>00873894000124</v>
      </c>
      <c r="C12" s="6" t="str">
        <f>IFERROR(VLOOKUP(B12,'[1]Catálogo de e-mails'!$C$2:$D$398,2,0),"Nome não Cadastrado")</f>
        <v>gabardoes@transgabardo.com.br; transporte.aquisicao@lets.com.br; transporte.seminovos@lets.com.br; comercialsp@transgabardo.com.br</v>
      </c>
      <c r="D12" s="3" t="s">
        <v>6</v>
      </c>
    </row>
    <row r="13" spans="1:4" ht="16.5">
      <c r="A13" t="str">
        <f>IFERROR(VLOOKUP(B13,'[1]Catálogo de e-mails'!$A$2:$B$499,2,0),"Nome não Cadastrado")</f>
        <v>Tramontina Nordeste</v>
      </c>
      <c r="B13" s="6" t="str">
        <f>'Envio de CTes'!B13</f>
        <v>15205628000281</v>
      </c>
      <c r="C13" s="6" t="str">
        <f>IFERROR(VLOOKUP(B13,'[1]Catálogo de e-mails'!$C$2:$D$398,2,0),"Nome não Cadastrado")</f>
        <v>lucas.zarpelon@tramontina.com; diego.bittencourt@transgabardo.com.br; gabriel.chaves@transgabardo.com.br</v>
      </c>
      <c r="D13" s="3" t="s">
        <v>6</v>
      </c>
    </row>
    <row r="14" spans="1:4" ht="16.5">
      <c r="A14" t="str">
        <f>IFERROR(VLOOKUP(B14,'[1]Catálogo de e-mails'!$A$2:$B$499,2,0),"Nome não Cadastrado")</f>
        <v>A Central</v>
      </c>
      <c r="B14" s="6" t="str">
        <f>'Envio de CTes'!B14</f>
        <v>03849500000190</v>
      </c>
      <c r="C14" s="6" t="str">
        <f>IFERROR(VLOOKUP(B14,'[1]Catálogo de e-mails'!$C$2:$D$398,2,0),"Nome não Cadastrado")</f>
        <v>central@acentral.com.br; diego.bittencourt@transgabardo.com.br; logistica@acentral.com.br</v>
      </c>
      <c r="D14" s="3" t="s">
        <v>6</v>
      </c>
    </row>
    <row r="15" spans="1:4" ht="16.5">
      <c r="A15" t="str">
        <f>IFERROR(VLOOKUP(B15,'[1]Catálogo de e-mails'!$A$2:$B$499,2,0),"Nome não Cadastrado")</f>
        <v>Nome não Cadastrado</v>
      </c>
      <c r="B15" s="6" t="e">
        <f>'Envio de CTes'!#REF!</f>
        <v>#REF!</v>
      </c>
      <c r="C15" s="6" t="str">
        <f>IFERROR(VLOOKUP(B15,'[1]Catálogo de e-mails'!$C$2:$D$398,2,0),"Nome não Cadastrado")</f>
        <v>Nome não Cadastrado</v>
      </c>
      <c r="D15" s="3" t="s">
        <v>6</v>
      </c>
    </row>
    <row r="16" spans="1:4" ht="16.5">
      <c r="A16" t="str">
        <f>IFERROR(VLOOKUP(B16,'[1]Catálogo de e-mails'!$A$2:$B$499,2,0),"Nome não Cadastrado")</f>
        <v>Nome não Cadastrado</v>
      </c>
      <c r="B16" s="6" t="e">
        <f>'Envio de CTes'!#REF!</f>
        <v>#REF!</v>
      </c>
      <c r="C16" s="6" t="str">
        <f>IFERROR(VLOOKUP(B16,'[1]Catálogo de e-mails'!$C$2:$D$398,2,0),"Nome não Cadastrado")</f>
        <v>Nome não Cadastrado</v>
      </c>
      <c r="D16" s="3" t="s">
        <v>6</v>
      </c>
    </row>
    <row r="17" spans="1:4" ht="16.5">
      <c r="A17" t="str">
        <f>IFERROR(VLOOKUP(B17,'[1]Catálogo de e-mails'!$A$2:$B$499,2,0),"Nome não Cadastrado")</f>
        <v>Nome não Cadastrado</v>
      </c>
      <c r="B17" s="6" t="e">
        <f>'Envio de CTes'!#REF!</f>
        <v>#REF!</v>
      </c>
      <c r="C17" s="6" t="str">
        <f>IFERROR(VLOOKUP(B17,'[1]Catálogo de e-mails'!$C$2:$D$398,2,0),"Nome não Cadastrado")</f>
        <v>Nome não Cadastrado</v>
      </c>
      <c r="D17" s="3" t="s">
        <v>6</v>
      </c>
    </row>
    <row r="18" spans="1:4" ht="16.5">
      <c r="A18" t="str">
        <f>IFERROR(VLOOKUP(B18,'[1]Catálogo de e-mails'!$A$2:$B$499,2,0),"Nome não Cadastrado")</f>
        <v>Nome não Cadastrado</v>
      </c>
      <c r="B18" s="6" t="e">
        <f>'Envio de CTes'!#REF!</f>
        <v>#REF!</v>
      </c>
      <c r="C18" s="6" t="str">
        <f>IFERROR(VLOOKUP(B18,'[1]Catálogo de e-mails'!$C$2:$D$398,2,0),"Nome não Cadastrado")</f>
        <v>Nome não Cadastrado</v>
      </c>
      <c r="D18" s="3" t="s">
        <v>6</v>
      </c>
    </row>
    <row r="19" spans="1:4" ht="16.5">
      <c r="A19" t="str">
        <f>IFERROR(VLOOKUP(B19,'[1]Catálogo de e-mails'!$A$2:$B$499,2,0),"Nome não Cadastrado")</f>
        <v>Nome não Cadastrado</v>
      </c>
      <c r="B19" s="6" t="e">
        <f>'Envio de CTes'!#REF!</f>
        <v>#REF!</v>
      </c>
      <c r="C19" s="6" t="str">
        <f>IFERROR(VLOOKUP(B19,'[1]Catálogo de e-mails'!$C$2:$D$398,2,0),"Nome não Cadastrado")</f>
        <v>Nome não Cadastrado</v>
      </c>
      <c r="D19" s="3" t="s">
        <v>6</v>
      </c>
    </row>
    <row r="20" spans="1:4" ht="16.5">
      <c r="A20" t="str">
        <f>IFERROR(VLOOKUP(B20,'[1]Catálogo de e-mails'!$A$2:$B$499,2,0),"Nome não Cadastrado")</f>
        <v>Nome não Cadastrado</v>
      </c>
      <c r="B20" s="6" t="e">
        <f>'Envio de CTes'!#REF!</f>
        <v>#REF!</v>
      </c>
      <c r="C20" s="6" t="str">
        <f>IFERROR(VLOOKUP(B20,'[1]Catálogo de e-mails'!$C$2:$D$398,2,0),"Nome não Cadastrado")</f>
        <v>Nome não Cadastrado</v>
      </c>
      <c r="D20" s="3" t="s">
        <v>6</v>
      </c>
    </row>
    <row r="21" spans="1:4" ht="16.5">
      <c r="A21" t="str">
        <f>IFERROR(VLOOKUP(B21,'[1]Catálogo de e-mails'!$A$2:$B$499,2,0),"Nome não Cadastrado")</f>
        <v>Nome não Cadastrado</v>
      </c>
      <c r="B21" s="6">
        <f>'Envio de CTes'!B15</f>
        <v>0</v>
      </c>
      <c r="C21" s="6" t="str">
        <f>IFERROR(VLOOKUP(B21,'[1]Catálogo de e-mails'!$C$2:$D$398,2,0),"Nome não Cadastrado")</f>
        <v>Nome não Cadastrado</v>
      </c>
      <c r="D21" s="3" t="s">
        <v>6</v>
      </c>
    </row>
    <row r="22" spans="1:4" ht="16.5">
      <c r="A22" t="str">
        <f>IFERROR(VLOOKUP(B22,'[1]Catálogo de e-mails'!$A$2:$B$499,2,0),"Nome não Cadastrado")</f>
        <v>Nome não Cadastrado</v>
      </c>
      <c r="B22" s="6">
        <f>'Envio de CTes'!B16</f>
        <v>0</v>
      </c>
      <c r="C22" s="6" t="str">
        <f>IFERROR(VLOOKUP(B22,'[1]Catálogo de e-mails'!$C$2:$D$398,2,0),"Nome não Cadastrado")</f>
        <v>Nome não Cadastrado</v>
      </c>
      <c r="D22" s="3" t="s">
        <v>6</v>
      </c>
    </row>
    <row r="23" spans="1:4" ht="16.5">
      <c r="A23" t="str">
        <f>IFERROR(VLOOKUP(B23,'[1]Catálogo de e-mails'!$A$2:$B$499,2,0),"Nome não Cadastrado")</f>
        <v>Nome não Cadastrado</v>
      </c>
      <c r="B23" s="6">
        <f>'Envio de CTes'!B17</f>
        <v>0</v>
      </c>
      <c r="C23" s="6" t="str">
        <f>IFERROR(VLOOKUP(B23,'[1]Catálogo de e-mails'!$C$2:$D$398,2,0),"Nome não Cadastrado")</f>
        <v>Nome não Cadastrado</v>
      </c>
      <c r="D23" s="3" t="s">
        <v>6</v>
      </c>
    </row>
    <row r="24" spans="1:4" ht="16.5">
      <c r="A24" t="str">
        <f>IFERROR(VLOOKUP(B24,'[1]Catálogo de e-mails'!$A$2:$B$499,2,0),"Nome não Cadastrado")</f>
        <v>Nome não Cadastrado</v>
      </c>
      <c r="B24" s="6">
        <f>'Envio de CTes'!B18</f>
        <v>0</v>
      </c>
      <c r="C24" s="6" t="str">
        <f>IFERROR(VLOOKUP(B24,'[1]Catálogo de e-mails'!$C$2:$D$398,2,0),"Nome não Cadastrado")</f>
        <v>Nome não Cadastrado</v>
      </c>
      <c r="D24" s="3" t="s">
        <v>6</v>
      </c>
    </row>
    <row r="25" spans="1:4" ht="16.5">
      <c r="A25" t="str">
        <f>IFERROR(VLOOKUP(B25,'[1]Catálogo de e-mails'!$A$2:$B$499,2,0),"Nome não Cadastrado")</f>
        <v>Nome não Cadastrado</v>
      </c>
      <c r="B25" s="6">
        <f>'Envio de CTes'!B19</f>
        <v>0</v>
      </c>
      <c r="C25" s="6" t="str">
        <f>IFERROR(VLOOKUP(B25,'[1]Catálogo de e-mails'!$C$2:$D$398,2,0),"Nome não Cadastrado")</f>
        <v>Nome não Cadastrado</v>
      </c>
      <c r="D25" s="3" t="s">
        <v>6</v>
      </c>
    </row>
    <row r="26" spans="1:4" ht="16.5">
      <c r="A26" t="str">
        <f>IFERROR(VLOOKUP(B26,'[1]Catálogo de e-mails'!$A$2:$B$499,2,0),"Nome não Cadastrado")</f>
        <v>Nome não Cadastrado</v>
      </c>
      <c r="B26" s="6">
        <f>'Envio de CTes'!B20</f>
        <v>0</v>
      </c>
      <c r="C26" s="6" t="str">
        <f>IFERROR(VLOOKUP(B26,'[1]Catálogo de e-mails'!$C$2:$D$398,2,0),"Nome não Cadastrado")</f>
        <v>Nome não Cadastrado</v>
      </c>
      <c r="D26" s="3" t="s">
        <v>6</v>
      </c>
    </row>
    <row r="27" spans="1:4" ht="16.5">
      <c r="A27" t="str">
        <f>IFERROR(VLOOKUP(B27,'[1]Catálogo de e-mails'!$A$2:$B$499,2,0),"Nome não Cadastrado")</f>
        <v>Nome não Cadastrado</v>
      </c>
      <c r="B27" s="6">
        <f>'Envio de CTes'!B21</f>
        <v>0</v>
      </c>
      <c r="C27" s="6" t="str">
        <f>IFERROR(VLOOKUP(B27,'[1]Catálogo de e-mails'!$C$2:$D$398,2,0),"Nome não Cadastrado")</f>
        <v>Nome não Cadastrado</v>
      </c>
      <c r="D27" s="3" t="s">
        <v>6</v>
      </c>
    </row>
    <row r="28" spans="1:4" ht="16.5">
      <c r="A28" t="str">
        <f>IFERROR(VLOOKUP(B28,'[1]Catálogo de e-mails'!$A$2:$B$499,2,0),"Nome não Cadastrado")</f>
        <v>Nome não Cadastrado</v>
      </c>
      <c r="B28" s="6">
        <f>'Envio de CTes'!B22</f>
        <v>0</v>
      </c>
      <c r="C28" s="6" t="str">
        <f>IFERROR(VLOOKUP(B28,'[1]Catálogo de e-mails'!$C$2:$D$398,2,0),"Nome não Cadastrado")</f>
        <v>Nome não Cadastrado</v>
      </c>
      <c r="D28" s="3" t="s">
        <v>6</v>
      </c>
    </row>
    <row r="29" spans="1:4" ht="16.5">
      <c r="A29" t="str">
        <f>IFERROR(VLOOKUP(B29,'[1]Catálogo de e-mails'!$A$2:$B$499,2,0),"Nome não Cadastrado")</f>
        <v>Nome não Cadastrado</v>
      </c>
      <c r="B29" s="6">
        <f>'Envio de CTes'!B23</f>
        <v>0</v>
      </c>
      <c r="C29" s="6" t="str">
        <f>IFERROR(VLOOKUP(B29,'[1]Catálogo de e-mails'!$C$2:$D$398,2,0),"Nome não Cadastrado")</f>
        <v>Nome não Cadastrado</v>
      </c>
      <c r="D29" s="3" t="s">
        <v>6</v>
      </c>
    </row>
    <row r="30" spans="1:4" ht="16.5">
      <c r="A30" t="str">
        <f>IFERROR(VLOOKUP(B30,'[1]Catálogo de e-mails'!$A$2:$B$499,2,0),"Nome não Cadastrado")</f>
        <v>Nome não Cadastrado</v>
      </c>
      <c r="B30" s="6">
        <f>'Envio de CTes'!B24</f>
        <v>0</v>
      </c>
      <c r="C30" s="6" t="str">
        <f>IFERROR(VLOOKUP(B30,'[1]Catálogo de e-mails'!$C$2:$D$398,2,0),"Nome não Cadastrado")</f>
        <v>Nome não Cadastrado</v>
      </c>
      <c r="D30" s="3" t="s">
        <v>6</v>
      </c>
    </row>
    <row r="31" spans="1:4" ht="16.5">
      <c r="A31" t="str">
        <f>IFERROR(VLOOKUP(B31,'[1]Catálogo de e-mails'!$A$2:$B$499,2,0),"Nome não Cadastrado")</f>
        <v>Nome não Cadastrado</v>
      </c>
      <c r="B31" s="6">
        <f>'Envio de CTes'!B25</f>
        <v>0</v>
      </c>
      <c r="C31" s="6" t="str">
        <f>IFERROR(VLOOKUP(B31,'[1]Catálogo de e-mails'!$C$2:$D$398,2,0),"Nome não Cadastrado")</f>
        <v>Nome não Cadastrado</v>
      </c>
      <c r="D31" s="3" t="s">
        <v>6</v>
      </c>
    </row>
    <row r="32" spans="1:4" ht="16.5">
      <c r="A32" t="str">
        <f>IFERROR(VLOOKUP(B32,'[1]Catálogo de e-mails'!$A$2:$B$499,2,0),"Nome não Cadastrado")</f>
        <v>Nome não Cadastrado</v>
      </c>
      <c r="B32" s="6">
        <f>'Envio de CTes'!B26</f>
        <v>0</v>
      </c>
      <c r="C32" s="6" t="str">
        <f>IFERROR(VLOOKUP(B32,'[1]Catálogo de e-mails'!$C$2:$D$398,2,0),"Nome não Cadastrado")</f>
        <v>Nome não Cadastrado</v>
      </c>
      <c r="D32" s="3" t="s">
        <v>6</v>
      </c>
    </row>
    <row r="33" spans="1:4" ht="16.5">
      <c r="A33" t="str">
        <f>IFERROR(VLOOKUP(B33,'[1]Catálogo de e-mails'!$A$2:$B$499,2,0),"Nome não Cadastrado")</f>
        <v>Nome não Cadastrado</v>
      </c>
      <c r="B33" s="6">
        <f>'Envio de CTes'!B27</f>
        <v>0</v>
      </c>
      <c r="C33" s="6" t="str">
        <f>IFERROR(VLOOKUP(B33,'[1]Catálogo de e-mails'!$C$2:$D$398,2,0),"Nome não Cadastrado")</f>
        <v>Nome não Cadastrado</v>
      </c>
      <c r="D33" s="3" t="s">
        <v>6</v>
      </c>
    </row>
    <row r="34" spans="1:4" ht="16.5">
      <c r="A34" t="str">
        <f>IFERROR(VLOOKUP(B34,'[1]Catálogo de e-mails'!$A$2:$B$499,2,0),"Nome não Cadastrado")</f>
        <v>Nome não Cadastrado</v>
      </c>
      <c r="B34" s="6">
        <f>'Envio de CTes'!B28</f>
        <v>0</v>
      </c>
      <c r="C34" s="6" t="str">
        <f>IFERROR(VLOOKUP(B34,'[1]Catálogo de e-mails'!$C$2:$D$398,2,0),"Nome não Cadastrado")</f>
        <v>Nome não Cadastrado</v>
      </c>
      <c r="D34" s="3" t="s">
        <v>6</v>
      </c>
    </row>
    <row r="35" spans="1:4" ht="16.5">
      <c r="A35" t="str">
        <f>IFERROR(VLOOKUP(B35,'[1]Catálogo de e-mails'!$A$2:$B$499,2,0),"Nome não Cadastrado")</f>
        <v>Nome não Cadastrado</v>
      </c>
      <c r="B35" s="6">
        <f>'Envio de CTes'!B29</f>
        <v>0</v>
      </c>
      <c r="C35" s="6" t="str">
        <f>IFERROR(VLOOKUP(B35,'[1]Catálogo de e-mails'!$C$2:$D$398,2,0),"Nome não Cadastrado")</f>
        <v>Nome não Cadastrado</v>
      </c>
      <c r="D35" s="3" t="s">
        <v>6</v>
      </c>
    </row>
    <row r="36" spans="1:4" ht="16.5">
      <c r="A36" t="str">
        <f>IFERROR(VLOOKUP(B36,'[1]Catálogo de e-mails'!$A$2:$B$499,2,0),"Nome não Cadastrado")</f>
        <v>Nome não Cadastrado</v>
      </c>
      <c r="B36" s="6">
        <f>'Envio de CTes'!B30</f>
        <v>0</v>
      </c>
      <c r="C36" s="6" t="str">
        <f>IFERROR(VLOOKUP(B36,'[1]Catálogo de e-mails'!$C$2:$D$398,2,0),"Nome não Cadastrado")</f>
        <v>Nome não Cadastrado</v>
      </c>
      <c r="D36" s="3" t="s">
        <v>6</v>
      </c>
    </row>
    <row r="37" spans="1:4" ht="16.5">
      <c r="A37" t="str">
        <f>IFERROR(VLOOKUP(B37,'[1]Catálogo de e-mails'!$A$2:$B$499,2,0),"Nome não Cadastrado")</f>
        <v>Nome não Cadastrado</v>
      </c>
      <c r="B37" s="6">
        <f>'Envio de CTes'!B31</f>
        <v>0</v>
      </c>
      <c r="C37" s="6" t="str">
        <f>IFERROR(VLOOKUP(B37,'[1]Catálogo de e-mails'!$C$2:$D$398,2,0),"Nome não Cadastrado")</f>
        <v>Nome não Cadastrado</v>
      </c>
      <c r="D37" s="3" t="s">
        <v>6</v>
      </c>
    </row>
    <row r="38" spans="1:4" ht="16.5">
      <c r="A38" t="str">
        <f>IFERROR(VLOOKUP(B38,'[1]Catálogo de e-mails'!$A$2:$B$499,2,0),"Nome não Cadastrado")</f>
        <v>Nome não Cadastrado</v>
      </c>
      <c r="B38" s="6">
        <f>'Envio de CTes'!B32</f>
        <v>0</v>
      </c>
      <c r="C38" s="6" t="str">
        <f>IFERROR(VLOOKUP(B38,'[1]Catálogo de e-mails'!$C$2:$D$398,2,0),"Nome não Cadastrado")</f>
        <v>Nome não Cadastrado</v>
      </c>
      <c r="D38" s="3" t="s">
        <v>6</v>
      </c>
    </row>
    <row r="39" spans="1:4" ht="16.5">
      <c r="A39" t="str">
        <f>IFERROR(VLOOKUP(B39,'[1]Catálogo de e-mails'!$A$2:$B$499,2,0),"Nome não Cadastrado")</f>
        <v>Nome não Cadastrado</v>
      </c>
      <c r="B39" s="6">
        <f>'Envio de CTes'!B33</f>
        <v>0</v>
      </c>
      <c r="C39" s="6" t="str">
        <f>IFERROR(VLOOKUP(B39,'[1]Catálogo de e-mails'!$C$2:$D$398,2,0),"Nome não Cadastrado")</f>
        <v>Nome não Cadastrado</v>
      </c>
      <c r="D39" s="3" t="s">
        <v>6</v>
      </c>
    </row>
    <row r="40" spans="1:4" ht="16.5">
      <c r="A40" t="str">
        <f>IFERROR(VLOOKUP(B40,'[1]Catálogo de e-mails'!$A$2:$B$499,2,0),"Nome não Cadastrado")</f>
        <v>Nome não Cadastrado</v>
      </c>
      <c r="B40" s="6">
        <f>'Envio de CTes'!B34</f>
        <v>0</v>
      </c>
      <c r="C40" s="6" t="str">
        <f>IFERROR(VLOOKUP(B40,'[1]Catálogo de e-mails'!$C$2:$D$398,2,0),"Nome não Cadastrado")</f>
        <v>Nome não Cadastrado</v>
      </c>
      <c r="D40" s="3" t="s">
        <v>6</v>
      </c>
    </row>
    <row r="41" spans="1:4" ht="16.5">
      <c r="A41" t="str">
        <f>IFERROR(VLOOKUP(B41,'[1]Catálogo de e-mails'!$A$2:$B$499,2,0),"Nome não Cadastrado")</f>
        <v>Nome não Cadastrado</v>
      </c>
      <c r="B41" s="6">
        <f>'Envio de CTes'!B35</f>
        <v>0</v>
      </c>
      <c r="C41" s="6" t="str">
        <f>IFERROR(VLOOKUP(B41,'[1]Catálogo de e-mails'!$C$2:$D$398,2,0),"Nome não Cadastrado")</f>
        <v>Nome não Cadastrado</v>
      </c>
      <c r="D41" s="3" t="s">
        <v>6</v>
      </c>
    </row>
    <row r="42" spans="1:4" ht="16.5">
      <c r="A42" t="str">
        <f>IFERROR(VLOOKUP(B42,'[1]Catálogo de e-mails'!$A$2:$B$499,2,0),"Nome não Cadastrado")</f>
        <v>Nome não Cadastrado</v>
      </c>
      <c r="B42" s="6">
        <f>'Envio de CTes'!B36</f>
        <v>0</v>
      </c>
      <c r="C42" s="6" t="str">
        <f>IFERROR(VLOOKUP(B42,'[1]Catálogo de e-mails'!$C$2:$D$398,2,0),"Nome não Cadastrado")</f>
        <v>Nome não Cadastrado</v>
      </c>
      <c r="D42" s="3" t="s">
        <v>6</v>
      </c>
    </row>
    <row r="43" spans="1:4" ht="16.5">
      <c r="A43" t="str">
        <f>IFERROR(VLOOKUP(B43,'[1]Catálogo de e-mails'!$A$2:$B$499,2,0),"Nome não Cadastrado")</f>
        <v>Nome não Cadastrado</v>
      </c>
      <c r="B43" s="6">
        <f>'Envio de CTes'!B37</f>
        <v>0</v>
      </c>
      <c r="C43" s="6" t="str">
        <f>IFERROR(VLOOKUP(B43,'[1]Catálogo de e-mails'!$C$2:$D$398,2,0),"Nome não Cadastrado")</f>
        <v>Nome não Cadastrado</v>
      </c>
      <c r="D43" s="3" t="s">
        <v>6</v>
      </c>
    </row>
    <row r="44" spans="1:4" ht="16.5">
      <c r="A44" t="str">
        <f>IFERROR(VLOOKUP(B44,'[1]Catálogo de e-mails'!$A$2:$B$499,2,0),"Nome não Cadastrado")</f>
        <v>Nome não Cadastrado</v>
      </c>
      <c r="B44" s="6">
        <f>'Envio de CTes'!B38</f>
        <v>0</v>
      </c>
      <c r="C44" s="6" t="str">
        <f>IFERROR(VLOOKUP(B44,'[1]Catálogo de e-mails'!$C$2:$D$398,2,0),"Nome não Cadastrado")</f>
        <v>Nome não Cadastrado</v>
      </c>
      <c r="D44" s="3" t="s">
        <v>6</v>
      </c>
    </row>
    <row r="45" spans="1:4" ht="16.5">
      <c r="A45" t="str">
        <f>IFERROR(VLOOKUP(B45,'[1]Catálogo de e-mails'!$A$2:$B$499,2,0),"Nome não Cadastrado")</f>
        <v>Nome não Cadastrado</v>
      </c>
      <c r="B45" s="6">
        <f>'Envio de CTes'!B39</f>
        <v>0</v>
      </c>
      <c r="C45" s="6" t="str">
        <f>IFERROR(VLOOKUP(B45,'[1]Catálogo de e-mails'!$C$2:$D$398,2,0),"Nome não Cadastrado")</f>
        <v>Nome não Cadastrado</v>
      </c>
      <c r="D45" s="3" t="s">
        <v>6</v>
      </c>
    </row>
    <row r="46" spans="1:4" ht="16.5">
      <c r="A46" t="str">
        <f>IFERROR(VLOOKUP(B46,'[1]Catálogo de e-mails'!$A$2:$B$499,2,0),"Nome não Cadastrado")</f>
        <v>Nome não Cadastrado</v>
      </c>
      <c r="B46" s="6">
        <f>'Envio de CTes'!B40</f>
        <v>0</v>
      </c>
      <c r="C46" s="6" t="str">
        <f>IFERROR(VLOOKUP(B46,'[1]Catálogo de e-mails'!$C$2:$D$398,2,0),"Nome não Cadastrado")</f>
        <v>Nome não Cadastrado</v>
      </c>
      <c r="D46" s="3" t="s">
        <v>6</v>
      </c>
    </row>
    <row r="47" spans="1:4" ht="16.5">
      <c r="A47" t="str">
        <f>IFERROR(VLOOKUP(B47,'[1]Catálogo de e-mails'!$A$2:$B$499,2,0),"Nome não Cadastrado")</f>
        <v>Nome não Cadastrado</v>
      </c>
      <c r="B47" s="6">
        <f>'Envio de CTes'!B41</f>
        <v>0</v>
      </c>
      <c r="C47" s="6" t="str">
        <f>IFERROR(VLOOKUP(B47,'[1]Catálogo de e-mails'!$C$2:$D$398,2,0),"Nome não Cadastrado")</f>
        <v>Nome não Cadastrado</v>
      </c>
      <c r="D47" s="3" t="s">
        <v>6</v>
      </c>
    </row>
    <row r="48" spans="1:4" ht="16.5">
      <c r="A48" t="str">
        <f>IFERROR(VLOOKUP(B48,'[1]Catálogo de e-mails'!$A$2:$B$499,2,0),"Nome não Cadastrado")</f>
        <v>Nome não Cadastrado</v>
      </c>
      <c r="B48" s="6">
        <f>'Envio de CTes'!B42</f>
        <v>0</v>
      </c>
      <c r="C48" s="6" t="str">
        <f>IFERROR(VLOOKUP(B48,'[1]Catálogo de e-mails'!$C$2:$D$398,2,0),"Nome não Cadastrado")</f>
        <v>Nome não Cadastrado</v>
      </c>
      <c r="D48" s="3" t="s">
        <v>6</v>
      </c>
    </row>
    <row r="49" spans="1:4" ht="16.5">
      <c r="A49" t="str">
        <f>IFERROR(VLOOKUP(B49,'[1]Catálogo de e-mails'!$A$2:$B$499,2,0),"Nome não Cadastrado")</f>
        <v>Nome não Cadastrado</v>
      </c>
      <c r="B49" s="6">
        <f>'Envio de CTes'!B43</f>
        <v>0</v>
      </c>
      <c r="C49" s="6" t="str">
        <f>IFERROR(VLOOKUP(B49,'[1]Catálogo de e-mails'!$C$2:$D$398,2,0),"Nome não Cadastrado")</f>
        <v>Nome não Cadastrado</v>
      </c>
      <c r="D49" s="3" t="s">
        <v>6</v>
      </c>
    </row>
    <row r="50" spans="1:4" ht="16.5">
      <c r="A50" t="str">
        <f>IFERROR(VLOOKUP(B50,'[1]Catálogo de e-mails'!$A$2:$B$499,2,0),"Nome não Cadastrado")</f>
        <v>Nome não Cadastrado</v>
      </c>
      <c r="B50" s="6">
        <f>'Envio de CTes'!B44</f>
        <v>0</v>
      </c>
      <c r="C50" s="6" t="str">
        <f>IFERROR(VLOOKUP(B50,'[1]Catálogo de e-mails'!$C$2:$D$398,2,0),"Nome não Cadastrado")</f>
        <v>Nome não Cadastrado</v>
      </c>
      <c r="D50" s="3" t="s">
        <v>6</v>
      </c>
    </row>
    <row r="51" spans="1:4" ht="16.5">
      <c r="A51" t="str">
        <f>IFERROR(VLOOKUP(B51,'[1]Catálogo de e-mails'!$A$2:$B$499,2,0),"Nome não Cadastrado")</f>
        <v>Nome não Cadastrado</v>
      </c>
      <c r="B51" s="6">
        <f>'Envio de CTes'!B45</f>
        <v>0</v>
      </c>
      <c r="C51" s="6" t="str">
        <f>IFERROR(VLOOKUP(B51,'[1]Catálogo de e-mails'!$C$2:$D$398,2,0),"Nome não Cadastrado")</f>
        <v>Nome não Cadastrado</v>
      </c>
      <c r="D51" s="3" t="s">
        <v>6</v>
      </c>
    </row>
    <row r="52" spans="1:4" ht="16.5">
      <c r="A52" t="str">
        <f>IFERROR(VLOOKUP(B52,'[1]Catálogo de e-mails'!$A$2:$B$499,2,0),"Nome não Cadastrado")</f>
        <v>Nome não Cadastrado</v>
      </c>
      <c r="B52" s="6">
        <f>'Envio de CTes'!B46</f>
        <v>0</v>
      </c>
      <c r="C52" s="6" t="str">
        <f>IFERROR(VLOOKUP(B52,'[1]Catálogo de e-mails'!$C$2:$D$398,2,0),"Nome não Cadastrado")</f>
        <v>Nome não Cadastrado</v>
      </c>
      <c r="D52" s="3" t="s">
        <v>6</v>
      </c>
    </row>
    <row r="53" spans="1:4" ht="16.5">
      <c r="A53" t="str">
        <f>IFERROR(VLOOKUP(B53,'[1]Catálogo de e-mails'!$A$2:$B$499,2,0),"Nome não Cadastrado")</f>
        <v>Nome não Cadastrado</v>
      </c>
      <c r="B53" s="6">
        <f>'Envio de CTes'!B47</f>
        <v>0</v>
      </c>
      <c r="C53" s="6" t="str">
        <f>IFERROR(VLOOKUP(B53,'[1]Catálogo de e-mails'!$C$2:$D$398,2,0),"Nome não Cadastrado")</f>
        <v>Nome não Cadastrado</v>
      </c>
      <c r="D53" s="3" t="s">
        <v>6</v>
      </c>
    </row>
    <row r="54" spans="1:4" ht="16.5">
      <c r="A54" t="str">
        <f>IFERROR(VLOOKUP(B54,'[1]Catálogo de e-mails'!$A$2:$B$499,2,0),"Nome não Cadastrado")</f>
        <v>Nome não Cadastrado</v>
      </c>
      <c r="B54" s="6">
        <f>'Envio de CTes'!B48</f>
        <v>0</v>
      </c>
      <c r="C54" s="6" t="str">
        <f>IFERROR(VLOOKUP(B54,'[1]Catálogo de e-mails'!$C$2:$D$398,2,0),"Nome não Cadastrado")</f>
        <v>Nome não Cadastrado</v>
      </c>
      <c r="D54" s="3" t="s">
        <v>6</v>
      </c>
    </row>
    <row r="55" spans="1:4" ht="16.5">
      <c r="A55" t="str">
        <f>IFERROR(VLOOKUP(B55,'[1]Catálogo de e-mails'!$A$2:$B$499,2,0),"Nome não Cadastrado")</f>
        <v>Nome não Cadastrado</v>
      </c>
      <c r="B55" s="6">
        <f>'Envio de CTes'!B49</f>
        <v>0</v>
      </c>
      <c r="C55" s="6" t="str">
        <f>IFERROR(VLOOKUP(B55,'[1]Catálogo de e-mails'!$C$2:$D$398,2,0),"Nome não Cadastrado")</f>
        <v>Nome não Cadastrado</v>
      </c>
      <c r="D55" s="3" t="s">
        <v>6</v>
      </c>
    </row>
    <row r="56" spans="1:4" ht="16.5">
      <c r="A56" t="str">
        <f>IFERROR(VLOOKUP(B56,'[1]Catálogo de e-mails'!$A$2:$B$499,2,0),"Nome não Cadastrado")</f>
        <v>Nome não Cadastrado</v>
      </c>
      <c r="B56" s="6">
        <f>'Envio de CTes'!B50</f>
        <v>0</v>
      </c>
      <c r="C56" s="6" t="str">
        <f>IFERROR(VLOOKUP(B56,'[1]Catálogo de e-mails'!$C$2:$D$398,2,0),"Nome não Cadastrado")</f>
        <v>Nome não Cadastrado</v>
      </c>
      <c r="D56" s="3" t="s">
        <v>6</v>
      </c>
    </row>
    <row r="57" spans="1:4" ht="16.5">
      <c r="A57" t="str">
        <f>IFERROR(VLOOKUP(B57,'[1]Catálogo de e-mails'!$A$2:$B$499,2,0),"Nome não Cadastrado")</f>
        <v>Nome não Cadastrado</v>
      </c>
      <c r="B57" s="6">
        <f>'Envio de CTes'!B51</f>
        <v>0</v>
      </c>
      <c r="C57" s="6" t="str">
        <f>IFERROR(VLOOKUP(B57,'[1]Catálogo de e-mails'!$C$2:$D$398,2,0),"Nome não Cadastrado")</f>
        <v>Nome não Cadastrado</v>
      </c>
      <c r="D57" s="3" t="s">
        <v>6</v>
      </c>
    </row>
    <row r="58" spans="1:4" ht="16.5">
      <c r="A58" t="str">
        <f>IFERROR(VLOOKUP(B58,'[1]Catálogo de e-mails'!$A$2:$B$499,2,0),"Nome não Cadastrado")</f>
        <v>Nome não Cadastrado</v>
      </c>
      <c r="B58" s="6">
        <f>'Envio de CTes'!B52</f>
        <v>0</v>
      </c>
      <c r="C58" s="6" t="str">
        <f>IFERROR(VLOOKUP(B58,'[1]Catálogo de e-mails'!$C$2:$D$398,2,0),"Nome não Cadastrado")</f>
        <v>Nome não Cadastrado</v>
      </c>
      <c r="D58" s="3" t="s">
        <v>6</v>
      </c>
    </row>
    <row r="59" spans="1:4" ht="16.5">
      <c r="A59" t="str">
        <f>IFERROR(VLOOKUP(B59,'[1]Catálogo de e-mails'!$A$2:$B$499,2,0),"Nome não Cadastrado")</f>
        <v>Nome não Cadastrado</v>
      </c>
      <c r="B59" s="6">
        <f>'Envio de CTes'!B53</f>
        <v>0</v>
      </c>
      <c r="C59" s="6" t="str">
        <f>IFERROR(VLOOKUP(B59,'[1]Catálogo de e-mails'!$C$2:$D$398,2,0),"Nome não Cadastrado")</f>
        <v>Nome não Cadastrado</v>
      </c>
      <c r="D59" s="3" t="s">
        <v>6</v>
      </c>
    </row>
    <row r="60" spans="1:4" ht="16.5">
      <c r="A60" t="str">
        <f>IFERROR(VLOOKUP(B60,'[1]Catálogo de e-mails'!$A$2:$B$499,2,0),"Nome não Cadastrado")</f>
        <v>Nome não Cadastrado</v>
      </c>
      <c r="B60" s="6">
        <f>'Envio de CTes'!B54</f>
        <v>0</v>
      </c>
      <c r="C60" s="6" t="str">
        <f>IFERROR(VLOOKUP(B60,'[1]Catálogo de e-mails'!$C$2:$D$398,2,0),"Nome não Cadastrado")</f>
        <v>Nome não Cadastrado</v>
      </c>
      <c r="D60" s="3" t="s">
        <v>6</v>
      </c>
    </row>
    <row r="61" spans="1:4" ht="16.5">
      <c r="A61" t="str">
        <f>IFERROR(VLOOKUP(B61,'[1]Catálogo de e-mails'!$A$2:$B$499,2,0),"Nome não Cadastrado")</f>
        <v>Nome não Cadastrado</v>
      </c>
      <c r="B61" s="6">
        <f>'Envio de CTes'!B55</f>
        <v>0</v>
      </c>
      <c r="C61" s="6" t="str">
        <f>IFERROR(VLOOKUP(B61,'[1]Catálogo de e-mails'!$C$2:$D$398,2,0),"Nome não Cadastrado")</f>
        <v>Nome não Cadastrado</v>
      </c>
      <c r="D61" s="3" t="s">
        <v>6</v>
      </c>
    </row>
    <row r="62" spans="1:4" ht="16.5">
      <c r="A62" t="str">
        <f>IFERROR(VLOOKUP(B62,'[1]Catálogo de e-mails'!$A$2:$B$499,2,0),"Nome não Cadastrado")</f>
        <v>Nome não Cadastrado</v>
      </c>
      <c r="B62" s="6">
        <f>'Envio de CTes'!B56</f>
        <v>0</v>
      </c>
      <c r="C62" s="6" t="str">
        <f>IFERROR(VLOOKUP(B62,'[1]Catálogo de e-mails'!$C$2:$D$398,2,0),"Nome não Cadastrado")</f>
        <v>Nome não Cadastrado</v>
      </c>
      <c r="D62" s="3" t="s">
        <v>6</v>
      </c>
    </row>
    <row r="63" spans="1:4" ht="16.5">
      <c r="A63" t="str">
        <f>IFERROR(VLOOKUP(B63,'[1]Catálogo de e-mails'!$A$2:$B$499,2,0),"Nome não Cadastrado")</f>
        <v>Nome não Cadastrado</v>
      </c>
      <c r="B63" s="6">
        <f>'Envio de CTes'!B57</f>
        <v>0</v>
      </c>
      <c r="C63" s="6" t="str">
        <f>IFERROR(VLOOKUP(B63,'[1]Catálogo de e-mails'!$C$2:$D$398,2,0),"Nome não Cadastrado")</f>
        <v>Nome não Cadastrado</v>
      </c>
      <c r="D63" s="3" t="s">
        <v>6</v>
      </c>
    </row>
    <row r="64" spans="1:4" ht="16.5">
      <c r="A64" t="str">
        <f>IFERROR(VLOOKUP(B64,'[1]Catálogo de e-mails'!$A$2:$B$499,2,0),"Nome não Cadastrado")</f>
        <v>Nome não Cadastrado</v>
      </c>
      <c r="B64" s="6">
        <f>'Envio de CTes'!B58</f>
        <v>0</v>
      </c>
      <c r="C64" s="6" t="str">
        <f>IFERROR(VLOOKUP(B64,'[1]Catálogo de e-mails'!$C$2:$D$398,2,0),"Nome não Cadastrado")</f>
        <v>Nome não Cadastrado</v>
      </c>
      <c r="D64" s="3" t="s">
        <v>6</v>
      </c>
    </row>
    <row r="65" spans="1:4" ht="16.5">
      <c r="A65" t="str">
        <f>IFERROR(VLOOKUP(B65,'[1]Catálogo de e-mails'!$A$2:$B$499,2,0),"Nome não Cadastrado")</f>
        <v>Nome não Cadastrado</v>
      </c>
      <c r="B65" s="6">
        <f>'Envio de CTes'!B59</f>
        <v>0</v>
      </c>
      <c r="C65" s="6" t="str">
        <f>IFERROR(VLOOKUP(B65,'[1]Catálogo de e-mails'!$C$2:$D$398,2,0),"Nome não Cadastrado")</f>
        <v>Nome não Cadastrado</v>
      </c>
      <c r="D65" s="3" t="s">
        <v>6</v>
      </c>
    </row>
    <row r="66" spans="1:4" ht="16.5">
      <c r="A66" t="str">
        <f>IFERROR(VLOOKUP(B66,'[1]Catálogo de e-mails'!$A$2:$B$499,2,0),"Nome não Cadastrado")</f>
        <v>Nome não Cadastrado</v>
      </c>
      <c r="B66" s="6">
        <f>'Envio de CTes'!B60</f>
        <v>0</v>
      </c>
      <c r="C66" s="6" t="str">
        <f>IFERROR(VLOOKUP(B66,'[1]Catálogo de e-mails'!$C$2:$D$398,2,0),"Nome não Cadastrado")</f>
        <v>Nome não Cadastrado</v>
      </c>
      <c r="D66" s="3" t="s">
        <v>6</v>
      </c>
    </row>
    <row r="67" spans="1:4" ht="16.5">
      <c r="A67" t="str">
        <f>IFERROR(VLOOKUP(B67,'[1]Catálogo de e-mails'!$A$2:$B$499,2,0),"Nome não Cadastrado")</f>
        <v>Nome não Cadastrado</v>
      </c>
      <c r="B67" s="6">
        <f>'Envio de CTes'!B61</f>
        <v>0</v>
      </c>
      <c r="C67" s="6" t="str">
        <f>IFERROR(VLOOKUP(B67,'[1]Catálogo de e-mails'!$C$2:$D$398,2,0),"Nome não Cadastrado")</f>
        <v>Nome não Cadastrado</v>
      </c>
      <c r="D67" s="3" t="s">
        <v>6</v>
      </c>
    </row>
    <row r="68" spans="1:4" ht="16.5">
      <c r="A68" t="str">
        <f>IFERROR(VLOOKUP(B68,'[1]Catálogo de e-mails'!$A$2:$B$499,2,0),"Nome não Cadastrado")</f>
        <v>Nome não Cadastrado</v>
      </c>
      <c r="B68" s="6">
        <f>'Envio de CTes'!B62</f>
        <v>0</v>
      </c>
      <c r="C68" s="6" t="str">
        <f>IFERROR(VLOOKUP(B68,'[1]Catálogo de e-mails'!$C$2:$D$398,2,0),"Nome não Cadastrado")</f>
        <v>Nome não Cadastrado</v>
      </c>
      <c r="D68" s="3" t="s">
        <v>6</v>
      </c>
    </row>
    <row r="69" spans="1:4" ht="16.5">
      <c r="A69" t="str">
        <f>IFERROR(VLOOKUP(B69,'[1]Catálogo de e-mails'!$A$2:$B$499,2,0),"Nome não Cadastrado")</f>
        <v>Nome não Cadastrado</v>
      </c>
      <c r="B69" s="6">
        <f>'Envio de CTes'!B63</f>
        <v>0</v>
      </c>
      <c r="C69" s="6" t="str">
        <f>IFERROR(VLOOKUP(B69,'[1]Catálogo de e-mails'!$C$2:$D$398,2,0),"Nome não Cadastrado")</f>
        <v>Nome não Cadastrado</v>
      </c>
      <c r="D69" s="3" t="s">
        <v>6</v>
      </c>
    </row>
    <row r="70" spans="1:4" ht="16.5">
      <c r="A70" t="str">
        <f>IFERROR(VLOOKUP(B70,'[1]Catálogo de e-mails'!$A$2:$B$499,2,0),"Nome não Cadastrado")</f>
        <v>Nome não Cadastrado</v>
      </c>
      <c r="B70" s="6">
        <f>'Envio de CTes'!B64</f>
        <v>0</v>
      </c>
      <c r="C70" s="6" t="str">
        <f>IFERROR(VLOOKUP(B70,'[1]Catálogo de e-mails'!$C$2:$D$398,2,0),"Nome não Cadastrado")</f>
        <v>Nome não Cadastrado</v>
      </c>
      <c r="D70" s="3" t="s">
        <v>6</v>
      </c>
    </row>
    <row r="71" spans="1:4" ht="16.5">
      <c r="A71" t="str">
        <f>IFERROR(VLOOKUP(B71,'[1]Catálogo de e-mails'!$A$2:$B$499,2,0),"Nome não Cadastrado")</f>
        <v>Nome não Cadastrado</v>
      </c>
      <c r="B71" s="6">
        <f>'Envio de CTes'!B65</f>
        <v>0</v>
      </c>
      <c r="C71" s="6" t="str">
        <f>IFERROR(VLOOKUP(B71,'[1]Catálogo de e-mails'!$C$2:$D$398,2,0),"Nome não Cadastrado")</f>
        <v>Nome não Cadastrado</v>
      </c>
      <c r="D71" s="3" t="s">
        <v>6</v>
      </c>
    </row>
    <row r="72" spans="1:4" ht="16.5">
      <c r="A72" t="str">
        <f>IFERROR(VLOOKUP(B72,'[1]Catálogo de e-mails'!$A$2:$B$499,2,0),"Nome não Cadastrado")</f>
        <v>Nome não Cadastrado</v>
      </c>
      <c r="B72" s="6">
        <f>'Envio de CTes'!B66</f>
        <v>0</v>
      </c>
      <c r="C72" s="6" t="str">
        <f>IFERROR(VLOOKUP(B72,'[1]Catálogo de e-mails'!$C$2:$D$398,2,0),"Nome não Cadastrado")</f>
        <v>Nome não Cadastrado</v>
      </c>
      <c r="D72" s="3" t="s">
        <v>6</v>
      </c>
    </row>
    <row r="73" spans="1:4" ht="16.5">
      <c r="A73" t="str">
        <f>IFERROR(VLOOKUP(B73,'[1]Catálogo de e-mails'!$A$2:$B$499,2,0),"Nome não Cadastrado")</f>
        <v>Nome não Cadastrado</v>
      </c>
      <c r="B73" s="6">
        <f>'Envio de CTes'!B67</f>
        <v>0</v>
      </c>
      <c r="C73" s="6" t="str">
        <f>IFERROR(VLOOKUP(B73,'[1]Catálogo de e-mails'!$C$2:$D$398,2,0),"Nome não Cadastrado")</f>
        <v>Nome não Cadastrado</v>
      </c>
      <c r="D73" s="3" t="s">
        <v>6</v>
      </c>
    </row>
    <row r="74" spans="1:4" ht="16.5">
      <c r="A74" t="str">
        <f>IFERROR(VLOOKUP(B74,'[1]Catálogo de e-mails'!$A$2:$B$499,2,0),"Nome não Cadastrado")</f>
        <v>Nome não Cadastrado</v>
      </c>
      <c r="B74" s="6">
        <f>'Envio de CTes'!B68</f>
        <v>0</v>
      </c>
      <c r="C74" s="6" t="str">
        <f>IFERROR(VLOOKUP(B74,'[1]Catálogo de e-mails'!$C$2:$D$398,2,0),"Nome não Cadastrado")</f>
        <v>Nome não Cadastrado</v>
      </c>
      <c r="D74" s="3" t="s">
        <v>6</v>
      </c>
    </row>
    <row r="75" spans="1:4" ht="16.5">
      <c r="A75" t="str">
        <f>IFERROR(VLOOKUP(B75,'[1]Catálogo de e-mails'!$A$2:$B$499,2,0),"Nome não Cadastrado")</f>
        <v>Nome não Cadastrado</v>
      </c>
      <c r="B75" s="6">
        <f>'Envio de CTes'!B69</f>
        <v>0</v>
      </c>
      <c r="C75" s="6" t="str">
        <f>IFERROR(VLOOKUP(B75,'[1]Catálogo de e-mails'!$C$2:$D$398,2,0),"Nome não Cadastrado")</f>
        <v>Nome não Cadastrado</v>
      </c>
      <c r="D75" s="3" t="s">
        <v>6</v>
      </c>
    </row>
    <row r="76" spans="1:4" ht="16.5">
      <c r="A76" t="str">
        <f>IFERROR(VLOOKUP(B76,'[1]Catálogo de e-mails'!$A$2:$B$499,2,0),"Nome não Cadastrado")</f>
        <v>Nome não Cadastrado</v>
      </c>
      <c r="B76" s="6">
        <f>'Envio de CTes'!B70</f>
        <v>0</v>
      </c>
      <c r="C76" s="6" t="str">
        <f>IFERROR(VLOOKUP(B76,'[1]Catálogo de e-mails'!$C$2:$D$398,2,0),"Nome não Cadastrado")</f>
        <v>Nome não Cadastrado</v>
      </c>
      <c r="D76" s="3" t="s">
        <v>6</v>
      </c>
    </row>
    <row r="77" spans="1:4" ht="16.5">
      <c r="A77" t="str">
        <f>IFERROR(VLOOKUP(B77,'[1]Catálogo de e-mails'!$A$2:$B$499,2,0),"Nome não Cadastrado")</f>
        <v>Nome não Cadastrado</v>
      </c>
      <c r="B77" s="6">
        <f>'Envio de CTes'!B71</f>
        <v>0</v>
      </c>
      <c r="C77" s="6" t="str">
        <f>IFERROR(VLOOKUP(B77,'[1]Catálogo de e-mails'!$C$2:$D$398,2,0),"Nome não Cadastrado")</f>
        <v>Nome não Cadastrado</v>
      </c>
      <c r="D77" s="3" t="s">
        <v>6</v>
      </c>
    </row>
    <row r="78" spans="1:4" ht="16.5">
      <c r="A78" t="str">
        <f>IFERROR(VLOOKUP(B78,'[1]Catálogo de e-mails'!$A$2:$B$499,2,0),"Nome não Cadastrado")</f>
        <v>Nome não Cadastrado</v>
      </c>
      <c r="B78" s="6">
        <f>'Envio de CTes'!B72</f>
        <v>0</v>
      </c>
      <c r="C78" s="6" t="str">
        <f>IFERROR(VLOOKUP(B78,'[1]Catálogo de e-mails'!$C$2:$D$398,2,0),"Nome não Cadastrado")</f>
        <v>Nome não Cadastrado</v>
      </c>
      <c r="D78" s="3" t="s">
        <v>6</v>
      </c>
    </row>
    <row r="79" spans="1:4" ht="16.5">
      <c r="A79" t="str">
        <f>IFERROR(VLOOKUP(B79,'[1]Catálogo de e-mails'!$A$2:$B$499,2,0),"Nome não Cadastrado")</f>
        <v>Nome não Cadastrado</v>
      </c>
      <c r="B79" s="6">
        <f>'Envio de CTes'!B73</f>
        <v>0</v>
      </c>
      <c r="C79" s="6" t="str">
        <f>IFERROR(VLOOKUP(B79,'[1]Catálogo de e-mails'!$C$2:$D$398,2,0),"Nome não Cadastrado")</f>
        <v>Nome não Cadastrado</v>
      </c>
      <c r="D79" s="3" t="s">
        <v>6</v>
      </c>
    </row>
    <row r="80" spans="1:4" ht="16.5">
      <c r="A80" t="str">
        <f>IFERROR(VLOOKUP(B80,'[1]Catálogo de e-mails'!$A$2:$B$499,2,0),"Nome não Cadastrado")</f>
        <v>Nome não Cadastrado</v>
      </c>
      <c r="B80" s="6">
        <f>'Envio de CTes'!B74</f>
        <v>0</v>
      </c>
      <c r="C80" s="6" t="str">
        <f>IFERROR(VLOOKUP(B80,'[1]Catálogo de e-mails'!$C$2:$D$398,2,0),"Nome não Cadastrado")</f>
        <v>Nome não Cadastrado</v>
      </c>
      <c r="D80" s="3" t="s">
        <v>6</v>
      </c>
    </row>
    <row r="81" spans="1:4" ht="16.5">
      <c r="A81" t="str">
        <f>IFERROR(VLOOKUP(B81,'[1]Catálogo de e-mails'!$A$2:$B$499,2,0),"Nome não Cadastrado")</f>
        <v>Nome não Cadastrado</v>
      </c>
      <c r="B81" s="6">
        <f>'Envio de CTes'!B75</f>
        <v>0</v>
      </c>
      <c r="C81" s="6" t="str">
        <f>IFERROR(VLOOKUP(B81,'[1]Catálogo de e-mails'!$C$2:$D$398,2,0),"Nome não Cadastrado")</f>
        <v>Nome não Cadastrado</v>
      </c>
      <c r="D81" s="3" t="s">
        <v>6</v>
      </c>
    </row>
    <row r="82" spans="1:4" ht="16.5">
      <c r="A82" t="str">
        <f>IFERROR(VLOOKUP(B82,'[1]Catálogo de e-mails'!$A$2:$B$499,2,0),"Nome não Cadastrado")</f>
        <v>Nome não Cadastrado</v>
      </c>
      <c r="B82" s="6">
        <f>'Envio de CTes'!B76</f>
        <v>0</v>
      </c>
      <c r="C82" s="6" t="str">
        <f>IFERROR(VLOOKUP(B82,'[1]Catálogo de e-mails'!$C$2:$D$398,2,0),"Nome não Cadastrado")</f>
        <v>Nome não Cadastrado</v>
      </c>
      <c r="D82" s="3" t="s">
        <v>6</v>
      </c>
    </row>
    <row r="83" spans="1:4" ht="16.5">
      <c r="A83" t="str">
        <f>IFERROR(VLOOKUP(B83,'[1]Catálogo de e-mails'!$A$2:$B$499,2,0),"Nome não Cadastrado")</f>
        <v>Nome não Cadastrado</v>
      </c>
      <c r="B83" s="6">
        <f>'Envio de CTes'!B78</f>
        <v>0</v>
      </c>
      <c r="C83" s="6" t="str">
        <f>IFERROR(VLOOKUP(B83,'[1]Catálogo de e-mails'!$C$2:$D$398,2,0),"Nome não Cadastrado")</f>
        <v>Nome não Cadastrado</v>
      </c>
      <c r="D83" s="3" t="s">
        <v>6</v>
      </c>
    </row>
    <row r="84" spans="1:4" ht="16.5">
      <c r="A84" t="str">
        <f>IFERROR(VLOOKUP(B84,'[1]Catálogo de e-mails'!$A$2:$B$499,2,0),"Nome não Cadastrado")</f>
        <v>Nome não Cadastrado</v>
      </c>
      <c r="B84" s="6">
        <f>'Envio de CTes'!B79</f>
        <v>0</v>
      </c>
      <c r="C84" s="6" t="str">
        <f>IFERROR(VLOOKUP(B84,'[1]Catálogo de e-mails'!$C$2:$D$398,2,0),"Nome não Cadastrado")</f>
        <v>Nome não Cadastrado</v>
      </c>
      <c r="D84" s="3" t="s">
        <v>6</v>
      </c>
    </row>
    <row r="85" spans="1:4" ht="16.5">
      <c r="A85" t="str">
        <f>IFERROR(VLOOKUP(B85,'[1]Catálogo de e-mails'!$A$2:$B$499,2,0),"Nome não Cadastrado")</f>
        <v>Nome não Cadastrado</v>
      </c>
      <c r="B85" s="6">
        <f>'Envio de CTes'!B80</f>
        <v>0</v>
      </c>
      <c r="C85" s="6" t="str">
        <f>IFERROR(VLOOKUP(B85,'[1]Catálogo de e-mails'!$C$2:$D$398,2,0),"Nome não Cadastrado")</f>
        <v>Nome não Cadastrado</v>
      </c>
      <c r="D85" s="3" t="s">
        <v>6</v>
      </c>
    </row>
    <row r="86" spans="1:4" ht="16.5">
      <c r="A86" t="str">
        <f>IFERROR(VLOOKUP(B86,'[1]Catálogo de e-mails'!$A$2:$B$499,2,0),"Nome não Cadastrado")</f>
        <v>Nome não Cadastrado</v>
      </c>
      <c r="B86" s="6">
        <f>'Envio de CTes'!B81</f>
        <v>0</v>
      </c>
      <c r="C86" s="6" t="str">
        <f>IFERROR(VLOOKUP(B86,'[1]Catálogo de e-mails'!$C$2:$D$398,2,0),"Nome não Cadastrado")</f>
        <v>Nome não Cadastrado</v>
      </c>
      <c r="D86" s="3" t="s">
        <v>6</v>
      </c>
    </row>
    <row r="87" spans="1:4" ht="16.5">
      <c r="A87" t="str">
        <f>IFERROR(VLOOKUP(B87,'[1]Catálogo de e-mails'!$A$2:$B$499,2,0),"Nome não Cadastrado")</f>
        <v>Nome não Cadastrado</v>
      </c>
      <c r="B87" s="6">
        <f>'Envio de CTes'!B82</f>
        <v>0</v>
      </c>
      <c r="C87" s="6" t="str">
        <f>IFERROR(VLOOKUP(B87,'[1]Catálogo de e-mails'!$C$2:$D$398,2,0),"Nome não Cadastrado")</f>
        <v>Nome não Cadastrado</v>
      </c>
      <c r="D87" s="3" t="s">
        <v>6</v>
      </c>
    </row>
    <row r="88" spans="1:4" ht="16.5">
      <c r="A88" t="str">
        <f>IFERROR(VLOOKUP(B88,'[1]Catálogo de e-mails'!$A$2:$B$499,2,0),"Nome não Cadastrado")</f>
        <v>Nome não Cadastrado</v>
      </c>
      <c r="B88" s="6">
        <f>'Envio de CTes'!B83</f>
        <v>0</v>
      </c>
      <c r="C88" s="6" t="str">
        <f>IFERROR(VLOOKUP(B88,'[1]Catálogo de e-mails'!$C$2:$D$398,2,0),"Nome não Cadastrado")</f>
        <v>Nome não Cadastrado</v>
      </c>
      <c r="D88" s="3" t="s">
        <v>6</v>
      </c>
    </row>
    <row r="89" spans="1:4" ht="16.5">
      <c r="A89" t="str">
        <f>IFERROR(VLOOKUP(B89,'[1]Catálogo de e-mails'!$A$2:$B$499,2,0),"Nome não Cadastrado")</f>
        <v>Nome não Cadastrado</v>
      </c>
      <c r="B89" s="6">
        <f>'Envio de CTes'!B84</f>
        <v>0</v>
      </c>
      <c r="C89" s="6" t="str">
        <f>IFERROR(VLOOKUP(B89,'[1]Catálogo de e-mails'!$C$2:$D$398,2,0),"Nome não Cadastrado")</f>
        <v>Nome não Cadastrado</v>
      </c>
      <c r="D89" s="3" t="s">
        <v>6</v>
      </c>
    </row>
    <row r="90" spans="1:4" ht="16.5">
      <c r="A90" t="str">
        <f>IFERROR(VLOOKUP(B90,'[1]Catálogo de e-mails'!$A$2:$B$499,2,0),"Nome não Cadastrado")</f>
        <v>Nome não Cadastrado</v>
      </c>
      <c r="B90" s="6">
        <f>'Envio de CTes'!B85</f>
        <v>0</v>
      </c>
      <c r="C90" s="6" t="str">
        <f>IFERROR(VLOOKUP(B90,'[1]Catálogo de e-mails'!$C$2:$D$398,2,0),"Nome não Cadastrado")</f>
        <v>Nome não Cadastrado</v>
      </c>
      <c r="D90" s="3" t="s">
        <v>6</v>
      </c>
    </row>
    <row r="91" spans="1:4" ht="16.5">
      <c r="A91" t="str">
        <f>IFERROR(VLOOKUP(B91,'[1]Catálogo de e-mails'!$A$2:$B$499,2,0),"Nome não Cadastrado")</f>
        <v>Nome não Cadastrado</v>
      </c>
      <c r="B91" s="6">
        <f>'Envio de CTes'!B86</f>
        <v>0</v>
      </c>
      <c r="C91" s="6" t="str">
        <f>IFERROR(VLOOKUP(B91,'[1]Catálogo de e-mails'!$C$2:$D$398,2,0),"Nome não Cadastrado")</f>
        <v>Nome não Cadastrado</v>
      </c>
      <c r="D91" s="3" t="s">
        <v>6</v>
      </c>
    </row>
    <row r="92" spans="1:4" ht="16.5">
      <c r="A92" t="str">
        <f>IFERROR(VLOOKUP(B92,'[1]Catálogo de e-mails'!$A$2:$B$499,2,0),"Nome não Cadastrado")</f>
        <v>Nome não Cadastrado</v>
      </c>
      <c r="B92" s="6">
        <f>'Envio de CTes'!B87</f>
        <v>0</v>
      </c>
      <c r="C92" s="6" t="str">
        <f>IFERROR(VLOOKUP(B92,'[1]Catálogo de e-mails'!$C$2:$D$398,2,0),"Nome não Cadastrado")</f>
        <v>Nome não Cadastrado</v>
      </c>
      <c r="D92" s="3" t="s">
        <v>6</v>
      </c>
    </row>
    <row r="93" spans="1:4" ht="16.5">
      <c r="A93" t="str">
        <f>IFERROR(VLOOKUP(B93,'[1]Catálogo de e-mails'!$A$2:$B$499,2,0),"Nome não Cadastrado")</f>
        <v>Nome não Cadastrado</v>
      </c>
      <c r="B93" s="6">
        <f>'Envio de CTes'!B88</f>
        <v>0</v>
      </c>
      <c r="C93" s="6" t="str">
        <f>IFERROR(VLOOKUP(B93,'[1]Catálogo de e-mails'!$C$2:$D$398,2,0),"Nome não Cadastrado")</f>
        <v>Nome não Cadastrado</v>
      </c>
      <c r="D93" s="3" t="s">
        <v>6</v>
      </c>
    </row>
    <row r="94" spans="1:4" ht="16.5">
      <c r="A94" t="str">
        <f>IFERROR(VLOOKUP(B94,'[1]Catálogo de e-mails'!$A$2:$B$499,2,0),"Nome não Cadastrado")</f>
        <v>Nome não Cadastrado</v>
      </c>
      <c r="B94" s="6">
        <f>'Envio de CTes'!B89</f>
        <v>0</v>
      </c>
      <c r="C94" s="6" t="str">
        <f>IFERROR(VLOOKUP(B94,'[1]Catálogo de e-mails'!$C$2:$D$398,2,0),"Nome não Cadastrado")</f>
        <v>Nome não Cadastrado</v>
      </c>
      <c r="D94" s="3" t="s">
        <v>6</v>
      </c>
    </row>
    <row r="95" spans="1:4" ht="16.5">
      <c r="A95" t="str">
        <f>IFERROR(VLOOKUP(B95,'[1]Catálogo de e-mails'!$A$2:$B$499,2,0),"Nome não Cadastrado")</f>
        <v>Nome não Cadastrado</v>
      </c>
      <c r="B95" s="6">
        <f>'Envio de CTes'!B90</f>
        <v>0</v>
      </c>
      <c r="C95" s="6" t="str">
        <f>IFERROR(VLOOKUP(B95,'[1]Catálogo de e-mails'!$C$2:$D$398,2,0),"Nome não Cadastrado")</f>
        <v>Nome não Cadastrado</v>
      </c>
      <c r="D95" s="3" t="s">
        <v>6</v>
      </c>
    </row>
    <row r="96" spans="1:4" ht="16.5">
      <c r="A96" t="str">
        <f>IFERROR(VLOOKUP(B96,'[1]Catálogo de e-mails'!$A$2:$B$499,2,0),"Nome não Cadastrado")</f>
        <v>Nome não Cadastrado</v>
      </c>
      <c r="B96" s="6">
        <f>'Envio de CTes'!B91</f>
        <v>0</v>
      </c>
      <c r="C96" s="6" t="str">
        <f>IFERROR(VLOOKUP(B96,'[1]Catálogo de e-mails'!$C$2:$D$398,2,0),"Nome não Cadastrado")</f>
        <v>Nome não Cadastrado</v>
      </c>
      <c r="D96" s="3" t="s">
        <v>6</v>
      </c>
    </row>
    <row r="97" spans="1:4" ht="16.5">
      <c r="A97" t="str">
        <f>IFERROR(VLOOKUP(B97,'[1]Catálogo de e-mails'!$A$2:$B$499,2,0),"Nome não Cadastrado")</f>
        <v>Nome não Cadastrado</v>
      </c>
      <c r="B97" s="6">
        <f>'Envio de CTes'!B92</f>
        <v>0</v>
      </c>
      <c r="C97" s="6" t="str">
        <f>IFERROR(VLOOKUP(B97,'[1]Catálogo de e-mails'!$C$2:$D$398,2,0),"Nome não Cadastrado")</f>
        <v>Nome não Cadastrado</v>
      </c>
      <c r="D97" s="3" t="s">
        <v>6</v>
      </c>
    </row>
    <row r="98" spans="1:4" ht="16.5">
      <c r="A98" t="str">
        <f>IFERROR(VLOOKUP(B98,'[1]Catálogo de e-mails'!$A$2:$B$499,2,0),"Nome não Cadastrado")</f>
        <v>Nome não Cadastrado</v>
      </c>
      <c r="B98" s="6">
        <f>'Envio de CTes'!B93</f>
        <v>0</v>
      </c>
      <c r="C98" s="6" t="str">
        <f>IFERROR(VLOOKUP(B98,'[1]Catálogo de e-mails'!$C$2:$D$398,2,0),"Nome não Cadastrado")</f>
        <v>Nome não Cadastrado</v>
      </c>
      <c r="D98" s="3" t="s">
        <v>6</v>
      </c>
    </row>
    <row r="99" spans="1:4" ht="16.5">
      <c r="A99" t="str">
        <f>IFERROR(VLOOKUP(B99,'[1]Catálogo de e-mails'!$A$2:$B$499,2,0),"Nome não Cadastrado")</f>
        <v>Nome não Cadastrado</v>
      </c>
      <c r="B99" s="6">
        <f>'Envio de CTes'!B94</f>
        <v>0</v>
      </c>
      <c r="C99" s="6" t="str">
        <f>IFERROR(VLOOKUP(B99,'[1]Catálogo de e-mails'!$C$2:$D$398,2,0),"Nome não Cadastrado")</f>
        <v>Nome não Cadastrado</v>
      </c>
      <c r="D99" s="3" t="s">
        <v>6</v>
      </c>
    </row>
    <row r="100" spans="1:4" ht="16.5">
      <c r="A100" t="str">
        <f>IFERROR(VLOOKUP(B100,'[1]Catálogo de e-mails'!$A$2:$B$499,2,0),"Nome não Cadastrado")</f>
        <v>Nome não Cadastrado</v>
      </c>
      <c r="B100" s="6">
        <f>'Envio de CTes'!B95</f>
        <v>0</v>
      </c>
      <c r="C100" s="6" t="str">
        <f>IFERROR(VLOOKUP(B100,'[1]Catálogo de e-mails'!$C$2:$D$398,2,0),"Nome não Cadastrado")</f>
        <v>Nome não Cadastrado</v>
      </c>
      <c r="D100" s="3" t="s">
        <v>6</v>
      </c>
    </row>
    <row r="101" spans="1:4" ht="16.5">
      <c r="A101" t="str">
        <f>IFERROR(VLOOKUP(B101,'[1]Catálogo de e-mails'!$A$2:$B$499,2,0),"Nome não Cadastrado")</f>
        <v>Nome não Cadastrado</v>
      </c>
      <c r="B101" s="6">
        <f>'Envio de CTes'!B96</f>
        <v>0</v>
      </c>
      <c r="C101" s="6" t="str">
        <f>IFERROR(VLOOKUP(B101,'[1]Catálogo de e-mails'!$C$2:$D$398,2,0),"Nome não Cadastrado")</f>
        <v>Nome não Cadastrado</v>
      </c>
      <c r="D101" s="3" t="s">
        <v>6</v>
      </c>
    </row>
    <row r="102" spans="1:4" ht="16.5">
      <c r="A102" t="str">
        <f>IFERROR(VLOOKUP(B102,'[1]Catálogo de e-mails'!$A$2:$B$499,2,0),"Nome não Cadastrado")</f>
        <v>Nome não Cadastrado</v>
      </c>
      <c r="B102" s="6">
        <f>'Envio de CTes'!B97</f>
        <v>0</v>
      </c>
      <c r="C102" s="6" t="str">
        <f>IFERROR(VLOOKUP(B102,'[1]Catálogo de e-mails'!$C$2:$D$398,2,0),"Nome não Cadastrado")</f>
        <v>Nome não Cadastrado</v>
      </c>
      <c r="D102" s="3" t="s">
        <v>6</v>
      </c>
    </row>
    <row r="103" spans="1:4" ht="16.5">
      <c r="A103" t="str">
        <f>IFERROR(VLOOKUP(B103,'[1]Catálogo de e-mails'!$A$2:$B$499,2,0),"Nome não Cadastrado")</f>
        <v>Nome não Cadastrado</v>
      </c>
      <c r="B103" s="6">
        <f>'Envio de CTes'!B98</f>
        <v>0</v>
      </c>
      <c r="C103" s="6" t="str">
        <f>IFERROR(VLOOKUP(B103,'[1]Catálogo de e-mails'!$C$2:$D$398,2,0),"Nome não Cadastrado")</f>
        <v>Nome não Cadastrado</v>
      </c>
      <c r="D103" s="3" t="s">
        <v>6</v>
      </c>
    </row>
    <row r="104" spans="1:4" ht="16.5">
      <c r="A104" t="str">
        <f>IFERROR(VLOOKUP(B104,'[1]Catálogo de e-mails'!$A$2:$B$499,2,0),"Nome não Cadastrado")</f>
        <v>Nome não Cadastrado</v>
      </c>
      <c r="B104" s="6">
        <f>'Envio de CTes'!B99</f>
        <v>0</v>
      </c>
      <c r="C104" s="6" t="str">
        <f>IFERROR(VLOOKUP(B104,'[1]Catálogo de e-mails'!$C$2:$D$398,2,0),"Nome não Cadastrado")</f>
        <v>Nome não Cadastrado</v>
      </c>
      <c r="D104" s="3" t="s">
        <v>6</v>
      </c>
    </row>
    <row r="105" spans="1:4" ht="16.5">
      <c r="A105" t="str">
        <f>IFERROR(VLOOKUP(B105,'[1]Catálogo de e-mails'!$A$2:$B$267,2,0),"Nome não Cadastrado")</f>
        <v>Nome não Cadastrado</v>
      </c>
      <c r="B105" s="6">
        <f>'Envio de CTes'!B100</f>
        <v>0</v>
      </c>
      <c r="C105" s="6" t="str">
        <f>IFERROR(VLOOKUP(B105,'[1]Catálogo de e-mails'!$C$2:$D$398,2,0),"Nome não Cadastrado")</f>
        <v>Nome não Cadastrado</v>
      </c>
      <c r="D105" s="3" t="s">
        <v>6</v>
      </c>
    </row>
    <row r="106" spans="1:4" ht="16.5">
      <c r="A106" t="str">
        <f>IFERROR(VLOOKUP(B106,'[1]Catálogo de e-mails'!$A$2:$B$267,2,0),"Nome não Cadastrado")</f>
        <v>Nome não Cadastrado</v>
      </c>
      <c r="B106" s="6">
        <f>'Envio de CTes'!B101</f>
        <v>0</v>
      </c>
      <c r="C106" s="6" t="str">
        <f>IFERROR(VLOOKUP(B106,'[1]Catálogo de e-mails'!$C$2:$D$398,2,0),"Nome não Cadastrado")</f>
        <v>Nome não Cadastrado</v>
      </c>
      <c r="D106" s="3" t="s">
        <v>6</v>
      </c>
    </row>
    <row r="107" spans="1:4" ht="16.5">
      <c r="A107" t="str">
        <f>IFERROR(VLOOKUP(B107,'[1]Catálogo de e-mails'!$A$2:$B$267,2,0),"Nome não Cadastrado")</f>
        <v>Nome não Cadastrado</v>
      </c>
      <c r="B107" s="6">
        <f>'Envio de CTes'!B102</f>
        <v>0</v>
      </c>
      <c r="C107" s="6" t="str">
        <f>IFERROR(VLOOKUP(B107,'[1]Catálogo de e-mails'!$C$2:$D$398,2,0),"Nome não Cadastrado")</f>
        <v>Nome não Cadastrado</v>
      </c>
      <c r="D107" s="3" t="s">
        <v>6</v>
      </c>
    </row>
    <row r="108" spans="1:4" ht="16.5">
      <c r="A108" t="str">
        <f>IFERROR(VLOOKUP(B108,'[1]Catálogo de e-mails'!$A$2:$B$267,2,0),"Nome não Cadastrado")</f>
        <v>Nome não Cadastrado</v>
      </c>
      <c r="B108" s="6">
        <f>'Envio de CTes'!B103</f>
        <v>0</v>
      </c>
      <c r="C108" s="6" t="str">
        <f>IFERROR(VLOOKUP(B108,'[1]Catálogo de e-mails'!$C$2:$D$398,2,0),"Nome não Cadastrado")</f>
        <v>Nome não Cadastrado</v>
      </c>
      <c r="D108" s="3" t="s">
        <v>6</v>
      </c>
    </row>
    <row r="109" spans="1:4" ht="16.5">
      <c r="A109" t="str">
        <f>IFERROR(VLOOKUP(B109,'[1]Catálogo de e-mails'!$A$2:$B$267,2,0),"Nome não Cadastrado")</f>
        <v>Nome não Cadastrado</v>
      </c>
      <c r="B109" s="6">
        <f>'Envio de CTes'!B104</f>
        <v>0</v>
      </c>
      <c r="C109" s="6" t="str">
        <f>IFERROR(VLOOKUP(B109,'[1]Catálogo de e-mails'!$C$2:$D$398,2,0),"Nome não Cadastrado")</f>
        <v>Nome não Cadastrado</v>
      </c>
      <c r="D109" s="3" t="s">
        <v>6</v>
      </c>
    </row>
    <row r="110" spans="1:4" ht="16.5">
      <c r="A110" t="str">
        <f>IFERROR(VLOOKUP(B110,'[1]Catálogo de e-mails'!$A$2:$B$267,2,0),"Nome não Cadastrado")</f>
        <v>Nome não Cadastrado</v>
      </c>
      <c r="B110" s="6">
        <f>'Envio de CTes'!B105</f>
        <v>0</v>
      </c>
      <c r="C110" s="6" t="str">
        <f>IFERROR(VLOOKUP(B110,'[1]Catálogo de e-mails'!$C$2:$D$398,2,0),"Nome não Cadastrado")</f>
        <v>Nome não Cadastrado</v>
      </c>
      <c r="D110" s="3" t="s">
        <v>6</v>
      </c>
    </row>
    <row r="111" spans="1:4" ht="16.5">
      <c r="A111" t="str">
        <f>IFERROR(VLOOKUP(B111,'[1]Catálogo de e-mails'!$A$2:$B$267,2,0),"Nome não Cadastrado")</f>
        <v>Nome não Cadastrado</v>
      </c>
      <c r="B111" s="6">
        <f>'Envio de CTes'!B106</f>
        <v>0</v>
      </c>
      <c r="C111" s="6" t="str">
        <f>IFERROR(VLOOKUP(B111,'[1]Catálogo de e-mails'!$C$2:$D$398,2,0),"Nome não Cadastrado")</f>
        <v>Nome não Cadastrado</v>
      </c>
      <c r="D111" s="3" t="s">
        <v>6</v>
      </c>
    </row>
    <row r="112" spans="1:4" ht="16.5">
      <c r="A112" t="str">
        <f>IFERROR(VLOOKUP(B112,'[1]Catálogo de e-mails'!$A$2:$B$267,2,0),"Nome não Cadastrado")</f>
        <v>Nome não Cadastrado</v>
      </c>
      <c r="B112" s="6">
        <f>'Envio de CTes'!B107</f>
        <v>0</v>
      </c>
      <c r="C112" s="6" t="str">
        <f>IFERROR(VLOOKUP(B112,'[1]Catálogo de e-mails'!$C$2:$D$398,2,0),"Nome não Cadastrado")</f>
        <v>Nome não Cadastrado</v>
      </c>
      <c r="D112" s="3" t="s">
        <v>6</v>
      </c>
    </row>
    <row r="113" spans="1:4" ht="16.5">
      <c r="A113" t="str">
        <f>IFERROR(VLOOKUP(B113,'[1]Catálogo de e-mails'!$A$2:$B$267,2,0),"Nome não Cadastrado")</f>
        <v>Nome não Cadastrado</v>
      </c>
      <c r="B113" s="6">
        <f>'Envio de CTes'!B108</f>
        <v>0</v>
      </c>
      <c r="C113" s="6" t="str">
        <f>IFERROR(VLOOKUP(B113,'[1]Catálogo de e-mails'!$C$2:$D$398,2,0),"Nome não Cadastrado")</f>
        <v>Nome não Cadastrado</v>
      </c>
      <c r="D113" s="3" t="s">
        <v>6</v>
      </c>
    </row>
    <row r="114" spans="1:4" ht="16.5">
      <c r="A114" t="str">
        <f>IFERROR(VLOOKUP(B114,'[1]Catálogo de e-mails'!$A$2:$B$267,2,0),"Nome não Cadastrado")</f>
        <v>Nome não Cadastrado</v>
      </c>
      <c r="B114" s="6">
        <f>'Envio de CTes'!B109</f>
        <v>0</v>
      </c>
      <c r="C114" s="6" t="str">
        <f>IFERROR(VLOOKUP(B114,'[1]Catálogo de e-mails'!$C$2:$D$398,2,0),"Nome não Cadastrado")</f>
        <v>Nome não Cadastrado</v>
      </c>
      <c r="D114" s="3" t="s">
        <v>6</v>
      </c>
    </row>
    <row r="115" spans="1:4" ht="16.5">
      <c r="A115" t="str">
        <f>IFERROR(VLOOKUP(B115,'[1]Catálogo de e-mails'!$A$2:$B$267,2,0),"Nome não Cadastrado")</f>
        <v>Nome não Cadastrado</v>
      </c>
      <c r="B115" s="6">
        <f>'Envio de CTes'!B110</f>
        <v>0</v>
      </c>
      <c r="C115" s="6" t="str">
        <f>IFERROR(VLOOKUP(B115,'[1]Catálogo de e-mails'!$C$2:$D$398,2,0),"Nome não Cadastrado")</f>
        <v>Nome não Cadastrado</v>
      </c>
      <c r="D115" s="3" t="s">
        <v>6</v>
      </c>
    </row>
    <row r="116" spans="1:4" ht="16.5">
      <c r="A116" t="str">
        <f>IFERROR(VLOOKUP(B116,'[1]Catálogo de e-mails'!$A$2:$B$267,2,0),"Nome não Cadastrado")</f>
        <v>Nome não Cadastrado</v>
      </c>
      <c r="B116" s="6">
        <f>'Envio de CTes'!B111</f>
        <v>0</v>
      </c>
      <c r="C116" s="6" t="str">
        <f>IFERROR(VLOOKUP(B116,'[1]Catálogo de e-mails'!$C$2:$D$398,2,0),"Nome não Cadastrado")</f>
        <v>Nome não Cadastrado</v>
      </c>
      <c r="D116" s="3" t="s">
        <v>6</v>
      </c>
    </row>
    <row r="117" spans="1:4" ht="16.5">
      <c r="A117" t="str">
        <f>IFERROR(VLOOKUP(B117,'[1]Catálogo de e-mails'!$A$2:$B$267,2,0),"Nome não Cadastrado")</f>
        <v>Nome não Cadastrado</v>
      </c>
      <c r="B117" s="6">
        <f>'Envio de CTes'!B112</f>
        <v>0</v>
      </c>
      <c r="C117" s="6" t="str">
        <f>IFERROR(VLOOKUP(B117,'[1]Catálogo de e-mails'!$C$2:$D$398,2,0),"Nome não Cadastrado")</f>
        <v>Nome não Cadastrado</v>
      </c>
      <c r="D117" s="3" t="s">
        <v>6</v>
      </c>
    </row>
    <row r="118" spans="1:4" ht="16.5">
      <c r="A118" t="str">
        <f>IFERROR(VLOOKUP(B118,'[1]Catálogo de e-mails'!$A$2:$B$267,2,0),"Nome não Cadastrado")</f>
        <v>Nome não Cadastrado</v>
      </c>
      <c r="B118" s="6">
        <f>'Envio de CTes'!B113</f>
        <v>0</v>
      </c>
      <c r="C118" s="6" t="str">
        <f>IFERROR(VLOOKUP(B118,'[1]Catálogo de e-mails'!$C$2:$D$398,2,0),"Nome não Cadastrado")</f>
        <v>Nome não Cadastrado</v>
      </c>
      <c r="D118" s="3" t="s">
        <v>6</v>
      </c>
    </row>
    <row r="119" spans="1:4" ht="16.5">
      <c r="A119" t="str">
        <f>IFERROR(VLOOKUP(B119,'[1]Catálogo de e-mails'!$A$2:$B$267,2,0),"Nome não Cadastrado")</f>
        <v>Nome não Cadastrado</v>
      </c>
      <c r="B119" s="6">
        <f>'Envio de CTes'!B114</f>
        <v>0</v>
      </c>
      <c r="C119" s="6" t="str">
        <f>IFERROR(VLOOKUP(B119,'[1]Catálogo de e-mails'!$C$2:$D$398,2,0),"Nome não Cadastrado")</f>
        <v>Nome não Cadastrado</v>
      </c>
      <c r="D119" s="3" t="s">
        <v>6</v>
      </c>
    </row>
    <row r="120" spans="1:4" ht="16.5">
      <c r="A120" t="str">
        <f>IFERROR(VLOOKUP(B120,'[1]Catálogo de e-mails'!$A$2:$B$267,2,0),"Nome não Cadastrado")</f>
        <v>Nome não Cadastrado</v>
      </c>
      <c r="B120" s="6">
        <f>'Envio de CTes'!B115</f>
        <v>0</v>
      </c>
      <c r="C120" s="6" t="str">
        <f>IFERROR(VLOOKUP(B120,'[1]Catálogo de e-mails'!$C$2:$D$398,2,0),"Nome não Cadastrado")</f>
        <v>Nome não Cadastrado</v>
      </c>
      <c r="D120" s="3" t="s">
        <v>6</v>
      </c>
    </row>
    <row r="121" spans="1:4" ht="16.5">
      <c r="A121" t="str">
        <f>IFERROR(VLOOKUP(B121,'[1]Catálogo de e-mails'!$A$2:$B$267,2,0),"Nome não Cadastrado")</f>
        <v>Nome não Cadastrado</v>
      </c>
      <c r="B121" s="6">
        <f>'Envio de CTes'!B116</f>
        <v>0</v>
      </c>
      <c r="C121" s="6" t="str">
        <f>IFERROR(VLOOKUP(B121,'[1]Catálogo de e-mails'!$C$2:$D$398,2,0),"Nome não Cadastrado")</f>
        <v>Nome não Cadastrado</v>
      </c>
      <c r="D121" s="3" t="s">
        <v>6</v>
      </c>
    </row>
    <row r="122" spans="1:4" ht="16.5">
      <c r="A122" t="str">
        <f>IFERROR(VLOOKUP(B122,'[1]Catálogo de e-mails'!$A$2:$B$267,2,0),"Nome não Cadastrado")</f>
        <v>Nome não Cadastrado</v>
      </c>
      <c r="B122" s="6">
        <f>'Envio de CTes'!B117</f>
        <v>0</v>
      </c>
      <c r="C122" s="6" t="str">
        <f>IFERROR(VLOOKUP(B122,'[1]Catálogo de e-mails'!$C$2:$D$398,2,0),"Nome não Cadastrado")</f>
        <v>Nome não Cadastrado</v>
      </c>
      <c r="D122" s="3" t="s">
        <v>6</v>
      </c>
    </row>
    <row r="123" spans="1:4" ht="16.5">
      <c r="A123" t="str">
        <f>IFERROR(VLOOKUP(B123,'[1]Catálogo de e-mails'!$A$2:$B$267,2,0),"Nome não Cadastrado")</f>
        <v>Nome não Cadastrado</v>
      </c>
      <c r="B123" s="6">
        <f>'Envio de CTes'!B118</f>
        <v>0</v>
      </c>
      <c r="C123" s="6" t="str">
        <f>IFERROR(VLOOKUP(B123,'[1]Catálogo de e-mails'!$C$2:$D$398,2,0),"Nome não Cadastrado")</f>
        <v>Nome não Cadastrado</v>
      </c>
      <c r="D123" s="3" t="s">
        <v>6</v>
      </c>
    </row>
    <row r="124" spans="1:4" ht="16.5">
      <c r="A124" t="str">
        <f>IFERROR(VLOOKUP(B124,'[1]Catálogo de e-mails'!$A$2:$B$267,2,0),"Nome não Cadastrado")</f>
        <v>Nome não Cadastrado</v>
      </c>
      <c r="B124" s="6">
        <f>'Envio de CTes'!B119</f>
        <v>0</v>
      </c>
      <c r="C124" s="6" t="str">
        <f>IFERROR(VLOOKUP(B124,'[1]Catálogo de e-mails'!$C$2:$D$398,2,0),"Nome não Cadastrado")</f>
        <v>Nome não Cadastrado</v>
      </c>
      <c r="D124" s="3" t="s">
        <v>6</v>
      </c>
    </row>
    <row r="125" spans="1:4" ht="16.5">
      <c r="A125" t="str">
        <f>IFERROR(VLOOKUP(B125,'[1]Catálogo de e-mails'!$A$2:$B$267,2,0),"Nome não Cadastrado")</f>
        <v>Nome não Cadastrado</v>
      </c>
      <c r="B125" s="6">
        <f>'Envio de CTes'!B120</f>
        <v>0</v>
      </c>
      <c r="C125" s="6" t="str">
        <f>IFERROR(VLOOKUP(B125,'[1]Catálogo de e-mails'!$C$2:$D$398,2,0),"Nome não Cadastrado")</f>
        <v>Nome não Cadastrado</v>
      </c>
      <c r="D125" s="3" t="s">
        <v>6</v>
      </c>
    </row>
    <row r="126" spans="1:4" ht="16.5">
      <c r="A126" t="str">
        <f>IFERROR(VLOOKUP(B126,'[1]Catálogo de e-mails'!$A$2:$B$267,2,0),"Nome não Cadastrado")</f>
        <v>Nome não Cadastrado</v>
      </c>
      <c r="B126" s="6">
        <f>'Envio de CTes'!B121</f>
        <v>0</v>
      </c>
      <c r="C126" s="6" t="str">
        <f>IFERROR(VLOOKUP(B126,'[1]Catálogo de e-mails'!$C$2:$D$398,2,0),"Nome não Cadastrado")</f>
        <v>Nome não Cadastrado</v>
      </c>
      <c r="D126" s="3" t="s">
        <v>6</v>
      </c>
    </row>
    <row r="127" spans="1:4" ht="16.5">
      <c r="A127" t="str">
        <f>IFERROR(VLOOKUP(B127,'[1]Catálogo de e-mails'!$A$2:$B$267,2,0),"Nome não Cadastrado")</f>
        <v>Nome não Cadastrado</v>
      </c>
      <c r="B127" s="6">
        <f>'Envio de CTes'!B122</f>
        <v>0</v>
      </c>
      <c r="C127" s="6" t="str">
        <f>IFERROR(VLOOKUP(B127,'[1]Catálogo de e-mails'!$C$2:$D$398,2,0),"Nome não Cadastrado")</f>
        <v>Nome não Cadastrado</v>
      </c>
      <c r="D127" s="3" t="s">
        <v>6</v>
      </c>
    </row>
    <row r="128" spans="1:4" ht="16.5">
      <c r="A128" t="str">
        <f>IFERROR(VLOOKUP(B128,'[1]Catálogo de e-mails'!$A$2:$B$267,2,0),"Nome não Cadastrado")</f>
        <v>Nome não Cadastrado</v>
      </c>
      <c r="B128" s="6">
        <f>'Envio de CTes'!B123</f>
        <v>0</v>
      </c>
      <c r="C128" s="6" t="str">
        <f>IFERROR(VLOOKUP(B128,'[1]Catálogo de e-mails'!$C$2:$D$398,2,0),"Nome não Cadastrado")</f>
        <v>Nome não Cadastrado</v>
      </c>
      <c r="D128" s="3" t="s">
        <v>6</v>
      </c>
    </row>
    <row r="129" spans="1:4" ht="16.5">
      <c r="A129" t="str">
        <f>IFERROR(VLOOKUP(B129,'[1]Catálogo de e-mails'!$A$2:$B$267,2,0),"Nome não Cadastrado")</f>
        <v>Nome não Cadastrado</v>
      </c>
      <c r="B129" s="6">
        <f>'Envio de CTes'!B124</f>
        <v>0</v>
      </c>
      <c r="C129" s="6" t="str">
        <f>IFERROR(VLOOKUP(B129,'[1]Catálogo de e-mails'!$C$2:$D$398,2,0),"Nome não Cadastrado")</f>
        <v>Nome não Cadastrado</v>
      </c>
      <c r="D129" s="3" t="s">
        <v>6</v>
      </c>
    </row>
    <row r="130" spans="1:4" ht="16.5">
      <c r="A130" t="str">
        <f>IFERROR(VLOOKUP(B130,'[1]Catálogo de e-mails'!$A$2:$B$267,2,0),"Nome não Cadastrado")</f>
        <v>Nome não Cadastrado</v>
      </c>
      <c r="B130" s="6">
        <f>'Envio de CTes'!B125</f>
        <v>0</v>
      </c>
      <c r="C130" s="6" t="str">
        <f>IFERROR(VLOOKUP(B130,'[1]Catálogo de e-mails'!$C$2:$D$398,2,0),"Nome não Cadastrado")</f>
        <v>Nome não Cadastrado</v>
      </c>
      <c r="D130" s="3" t="s">
        <v>6</v>
      </c>
    </row>
    <row r="131" spans="1:4" ht="16.5">
      <c r="A131" t="str">
        <f>IFERROR(VLOOKUP(B131,'[1]Catálogo de e-mails'!$A$2:$B$267,2,0),"Nome não Cadastrado")</f>
        <v>Nome não Cadastrado</v>
      </c>
      <c r="B131" s="6">
        <f>'Envio de CTes'!B126</f>
        <v>0</v>
      </c>
      <c r="C131" s="6" t="str">
        <f>IFERROR(VLOOKUP(B131,'[1]Catálogo de e-mails'!$C$2:$D$398,2,0),"Nome não Cadastrado")</f>
        <v>Nome não Cadastrado</v>
      </c>
      <c r="D131" s="3" t="s">
        <v>6</v>
      </c>
    </row>
    <row r="132" spans="1:4" ht="16.5">
      <c r="A132" t="str">
        <f>IFERROR(VLOOKUP(B132,'[1]Catálogo de e-mails'!$A$2:$B$267,2,0),"Nome não Cadastrado")</f>
        <v>Nome não Cadastrado</v>
      </c>
      <c r="B132" s="6">
        <f>'Envio de CTes'!B127</f>
        <v>0</v>
      </c>
      <c r="C132" s="6" t="str">
        <f>IFERROR(VLOOKUP(B132,'[1]Catálogo de e-mails'!$C$2:$D$398,2,0),"Nome não Cadastrado")</f>
        <v>Nome não Cadastrado</v>
      </c>
      <c r="D132" s="3" t="s">
        <v>6</v>
      </c>
    </row>
    <row r="133" spans="1:4" ht="16.5">
      <c r="A133" t="str">
        <f>IFERROR(VLOOKUP(B133,'[1]Catálogo de e-mails'!$A$2:$B$267,2,0),"Nome não Cadastrado")</f>
        <v>Nome não Cadastrado</v>
      </c>
      <c r="B133" s="6">
        <f>'Envio de CTes'!B128</f>
        <v>0</v>
      </c>
      <c r="C133" s="6" t="str">
        <f>IFERROR(VLOOKUP(B133,'[1]Catálogo de e-mails'!$C$2:$D$398,2,0),"Nome não Cadastrado")</f>
        <v>Nome não Cadastrado</v>
      </c>
      <c r="D133" s="3" t="s">
        <v>6</v>
      </c>
    </row>
    <row r="134" spans="1:4" ht="16.5">
      <c r="A134" t="str">
        <f>IFERROR(VLOOKUP(B134,'[1]Catálogo de e-mails'!$A$2:$B$267,2,0),"Nome não Cadastrado")</f>
        <v>Nome não Cadastrado</v>
      </c>
      <c r="B134" s="6">
        <f>'Envio de CTes'!B129</f>
        <v>0</v>
      </c>
      <c r="C134" s="6" t="str">
        <f>IFERROR(VLOOKUP(B134,'[1]Catálogo de e-mails'!$C$2:$D$398,2,0),"Nome não Cadastrado")</f>
        <v>Nome não Cadastrado</v>
      </c>
      <c r="D134" s="3" t="s">
        <v>6</v>
      </c>
    </row>
    <row r="135" spans="1:4" ht="16.5">
      <c r="A135" t="str">
        <f>IFERROR(VLOOKUP(B135,'[1]Catálogo de e-mails'!$A$2:$B$267,2,0),"Nome não Cadastrado")</f>
        <v>Nome não Cadastrado</v>
      </c>
      <c r="B135" s="6">
        <f>'Envio de CTes'!B130</f>
        <v>0</v>
      </c>
      <c r="C135" s="6" t="str">
        <f>IFERROR(VLOOKUP(B135,'[1]Catálogo de e-mails'!$C$2:$D$398,2,0),"Nome não Cadastrado")</f>
        <v>Nome não Cadastrado</v>
      </c>
      <c r="D135" s="3" t="s">
        <v>6</v>
      </c>
    </row>
    <row r="136" spans="1:4" ht="16.5">
      <c r="A136" t="str">
        <f>IFERROR(VLOOKUP(B136,'[1]Catálogo de e-mails'!$A$2:$B$267,2,0),"Nome não Cadastrado")</f>
        <v>Nome não Cadastrado</v>
      </c>
      <c r="B136" s="6">
        <f>'Envio de CTes'!B131</f>
        <v>0</v>
      </c>
      <c r="C136" s="6" t="str">
        <f>IFERROR(VLOOKUP(B136,'[1]Catálogo de e-mails'!$C$2:$D$398,2,0),"Nome não Cadastrado")</f>
        <v>Nome não Cadastrado</v>
      </c>
      <c r="D136" s="3" t="s">
        <v>6</v>
      </c>
    </row>
    <row r="137" spans="1:4" ht="16.5">
      <c r="A137" t="str">
        <f>IFERROR(VLOOKUP(B137,'[1]Catálogo de e-mails'!$A$2:$B$267,2,0),"Nome não Cadastrado")</f>
        <v>Nome não Cadastrado</v>
      </c>
      <c r="B137" s="6">
        <f>'Envio de CTes'!B132</f>
        <v>0</v>
      </c>
      <c r="C137" s="6" t="str">
        <f>IFERROR(VLOOKUP(B137,'[1]Catálogo de e-mails'!$C$2:$D$398,2,0),"Nome não Cadastrado")</f>
        <v>Nome não Cadastrado</v>
      </c>
      <c r="D137" s="3" t="s">
        <v>6</v>
      </c>
    </row>
    <row r="138" spans="1:4" ht="16.5">
      <c r="A138" t="str">
        <f>IFERROR(VLOOKUP(B138,'[1]Catálogo de e-mails'!$A$2:$B$267,2,0),"Nome não Cadastrado")</f>
        <v>Nome não Cadastrado</v>
      </c>
      <c r="B138" s="6">
        <f>'Envio de CTes'!B133</f>
        <v>0</v>
      </c>
      <c r="C138" s="6" t="str">
        <f>IFERROR(VLOOKUP(B138,'[1]Catálogo de e-mails'!$C$2:$D$398,2,0),"Nome não Cadastrado")</f>
        <v>Nome não Cadastrado</v>
      </c>
      <c r="D138" s="3" t="s">
        <v>6</v>
      </c>
    </row>
    <row r="139" spans="1:4" ht="16.5">
      <c r="A139" t="str">
        <f>IFERROR(VLOOKUP(B139,'[1]Catálogo de e-mails'!$A$2:$B$267,2,0),"Nome não Cadastrado")</f>
        <v>Nome não Cadastrado</v>
      </c>
      <c r="B139" s="6">
        <f>'Envio de CTes'!B134</f>
        <v>0</v>
      </c>
      <c r="C139" s="6" t="str">
        <f>IFERROR(VLOOKUP(B139,'[1]Catálogo de e-mails'!$C$2:$D$398,2,0),"Nome não Cadastrado")</f>
        <v>Nome não Cadastrado</v>
      </c>
      <c r="D139" s="3" t="s">
        <v>6</v>
      </c>
    </row>
    <row r="140" spans="1:4" ht="16.5">
      <c r="A140" t="str">
        <f>IFERROR(VLOOKUP(B140,'[1]Catálogo de e-mails'!$A$2:$B$267,2,0),"Nome não Cadastrado")</f>
        <v>Nome não Cadastrado</v>
      </c>
      <c r="B140" s="6">
        <f>'Envio de CTes'!B135</f>
        <v>0</v>
      </c>
      <c r="C140" s="6" t="str">
        <f>IFERROR(VLOOKUP(B140,'[1]Catálogo de e-mails'!$C$2:$D$398,2,0),"Nome não Cadastrado")</f>
        <v>Nome não Cadastrado</v>
      </c>
      <c r="D140" s="3" t="s">
        <v>6</v>
      </c>
    </row>
    <row r="141" spans="1:4" ht="16.5">
      <c r="A141" t="str">
        <f>IFERROR(VLOOKUP(B141,'[1]Catálogo de e-mails'!$A$2:$B$267,2,0),"Nome não Cadastrado")</f>
        <v>Nome não Cadastrado</v>
      </c>
      <c r="B141" s="6">
        <f>'Envio de CTes'!B136</f>
        <v>0</v>
      </c>
      <c r="C141" s="6" t="str">
        <f>IFERROR(VLOOKUP(B141,'[1]Catálogo de e-mails'!$C$2:$D$398,2,0),"Nome não Cadastrado")</f>
        <v>Nome não Cadastrado</v>
      </c>
      <c r="D141" s="3" t="s">
        <v>6</v>
      </c>
    </row>
    <row r="142" spans="1:4" ht="16.5">
      <c r="A142" t="str">
        <f>IFERROR(VLOOKUP(B142,'[1]Catálogo de e-mails'!$A$2:$B$267,2,0),"Nome não Cadastrado")</f>
        <v>Nome não Cadastrado</v>
      </c>
      <c r="B142" s="6">
        <f>'Envio de CTes'!B137</f>
        <v>0</v>
      </c>
      <c r="C142" s="6" t="str">
        <f>IFERROR(VLOOKUP(B142,'[1]Catálogo de e-mails'!$C$2:$D$398,2,0),"Nome não Cadastrado")</f>
        <v>Nome não Cadastrado</v>
      </c>
      <c r="D142" s="3" t="s">
        <v>6</v>
      </c>
    </row>
    <row r="143" spans="1:4" ht="16.5">
      <c r="A143" t="str">
        <f>IFERROR(VLOOKUP(B143,'[1]Catálogo de e-mails'!$A$2:$B$267,2,0),"Nome não Cadastrado")</f>
        <v>Nome não Cadastrado</v>
      </c>
      <c r="B143" s="6">
        <f>'Envio de CTes'!B138</f>
        <v>0</v>
      </c>
      <c r="C143" s="6" t="str">
        <f>IFERROR(VLOOKUP(B143,'[1]Catálogo de e-mails'!$C$2:$D$398,2,0),"Nome não Cadastrado")</f>
        <v>Nome não Cadastrado</v>
      </c>
      <c r="D143" s="3" t="s">
        <v>6</v>
      </c>
    </row>
    <row r="144" spans="1:4" ht="16.5">
      <c r="A144" t="str">
        <f>IFERROR(VLOOKUP(B144,'[1]Catálogo de e-mails'!$A$2:$B$267,2,0),"Nome não Cadastrado")</f>
        <v>Nome não Cadastrado</v>
      </c>
      <c r="B144" s="6">
        <f>'Envio de CTes'!B139</f>
        <v>0</v>
      </c>
      <c r="C144" s="6" t="str">
        <f>IFERROR(VLOOKUP(B144,'[1]Catálogo de e-mails'!$C$2:$D$398,2,0),"Nome não Cadastrado")</f>
        <v>Nome não Cadastrado</v>
      </c>
      <c r="D144" s="3" t="s">
        <v>6</v>
      </c>
    </row>
    <row r="145" spans="1:4" ht="16.5">
      <c r="A145" t="str">
        <f>IFERROR(VLOOKUP(B145,'[1]Catálogo de e-mails'!$A$2:$B$267,2,0),"Nome não Cadastrado")</f>
        <v>Nome não Cadastrado</v>
      </c>
      <c r="B145" s="6">
        <f>'Envio de CTes'!B140</f>
        <v>0</v>
      </c>
      <c r="C145" s="6" t="str">
        <f>IFERROR(VLOOKUP(B145,'[1]Catálogo de e-mails'!$C$2:$D$398,2,0),"Nome não Cadastrado")</f>
        <v>Nome não Cadastrado</v>
      </c>
      <c r="D145" s="3" t="s">
        <v>6</v>
      </c>
    </row>
    <row r="146" spans="1:4" ht="16.5">
      <c r="A146" t="str">
        <f>IFERROR(VLOOKUP(B146,'[1]Catálogo de e-mails'!$A$2:$B$267,2,0),"Nome não Cadastrado")</f>
        <v>Nome não Cadastrado</v>
      </c>
      <c r="B146" s="6">
        <f>'Envio de CTes'!B141</f>
        <v>0</v>
      </c>
      <c r="C146" s="6" t="str">
        <f>IFERROR(VLOOKUP(B146,'[1]Catálogo de e-mails'!$C$2:$D$398,2,0),"Nome não Cadastrado")</f>
        <v>Nome não Cadastrado</v>
      </c>
      <c r="D146" s="3" t="s">
        <v>6</v>
      </c>
    </row>
    <row r="147" spans="1:4" ht="16.5">
      <c r="A147" t="str">
        <f>IFERROR(VLOOKUP(B147,'[1]Catálogo de e-mails'!$A$2:$B$267,2,0),"Nome não Cadastrado")</f>
        <v>Nome não Cadastrado</v>
      </c>
      <c r="B147" s="6">
        <f>'Envio de CTes'!B142</f>
        <v>0</v>
      </c>
      <c r="C147" s="6" t="str">
        <f>IFERROR(VLOOKUP(B147,'[1]Catálogo de e-mails'!$C$2:$D$398,2,0),"Nome não Cadastrado")</f>
        <v>Nome não Cadastrado</v>
      </c>
      <c r="D147" s="3" t="s">
        <v>6</v>
      </c>
    </row>
    <row r="148" spans="1:4" ht="16.5">
      <c r="A148" t="str">
        <f>IFERROR(VLOOKUP(B148,'[1]Catálogo de e-mails'!$A$2:$B$267,2,0),"Nome não Cadastrado")</f>
        <v>Nome não Cadastrado</v>
      </c>
      <c r="B148" s="6">
        <f>'Envio de CTes'!B143</f>
        <v>0</v>
      </c>
      <c r="C148" s="6" t="str">
        <f>IFERROR(VLOOKUP(B148,'[1]Catálogo de e-mails'!$C$2:$D$398,2,0),"Nome não Cadastrado")</f>
        <v>Nome não Cadastrado</v>
      </c>
      <c r="D148" s="3" t="s">
        <v>6</v>
      </c>
    </row>
    <row r="149" spans="1:4" ht="16.5">
      <c r="A149" t="str">
        <f>IFERROR(VLOOKUP(B149,'[1]Catálogo de e-mails'!$A$2:$B$267,2,0),"Nome não Cadastrado")</f>
        <v>Nome não Cadastrado</v>
      </c>
      <c r="B149" s="6">
        <f>'Envio de CTes'!B144</f>
        <v>0</v>
      </c>
      <c r="C149" s="6" t="str">
        <f>IFERROR(VLOOKUP(B149,'[1]Catálogo de e-mails'!$C$2:$D$398,2,0),"Nome não Cadastrado")</f>
        <v>Nome não Cadastrado</v>
      </c>
    </row>
    <row r="150" spans="1:4" ht="16.5">
      <c r="A150" t="str">
        <f>IFERROR(VLOOKUP(B150,'[1]Catálogo de e-mails'!$A$2:$B$267,2,0),"Nome não Cadastrado")</f>
        <v>Nome não Cadastrado</v>
      </c>
      <c r="B150" s="6">
        <f>'Envio de CTes'!B145</f>
        <v>0</v>
      </c>
      <c r="C150" s="6" t="str">
        <f>IFERROR(VLOOKUP(B150,'[1]Catálogo de e-mails'!$C$2:$D$398,2,0),"Nome não Cadastrado")</f>
        <v>Nome não Cadastrado</v>
      </c>
    </row>
    <row r="151" spans="1:4" ht="16.5">
      <c r="A151" t="str">
        <f>IFERROR(VLOOKUP(B151,'[1]Catálogo de e-mails'!$A$2:$B$267,2,0),"Nome não Cadastrado")</f>
        <v>Nome não Cadastrado</v>
      </c>
      <c r="B151" s="6">
        <f>'Envio de CTes'!B146</f>
        <v>0</v>
      </c>
      <c r="C151" s="6" t="str">
        <f>IFERROR(VLOOKUP(B151,'[1]Catálogo de e-mails'!$C$2:$D$398,2,0),"Nome não Cadastrado")</f>
        <v>Nome não Cadastrado</v>
      </c>
    </row>
    <row r="152" spans="1:4" ht="16.5">
      <c r="A152" t="str">
        <f>IFERROR(VLOOKUP(B152,'[1]Catálogo de e-mails'!$A$2:$B$267,2,0),"Nome não Cadastrado")</f>
        <v>Nome não Cadastrado</v>
      </c>
      <c r="B152" s="6">
        <f>'Envio de CTes'!B147</f>
        <v>0</v>
      </c>
      <c r="C152" s="6" t="str">
        <f>IFERROR(VLOOKUP(B152,'[1]Catálogo de e-mails'!$C$2:$D$398,2,0),"Nome não Cadastrado")</f>
        <v>Nome não Cadastrado</v>
      </c>
    </row>
    <row r="153" spans="1:4" ht="16.5">
      <c r="A153" t="str">
        <f>IFERROR(VLOOKUP(B153,'[1]Catálogo de e-mails'!$A$2:$B$267,2,0),"Nome não Cadastrado")</f>
        <v>Nome não Cadastrado</v>
      </c>
      <c r="B153" s="6">
        <f>'Envio de CTes'!B148</f>
        <v>0</v>
      </c>
      <c r="C153" s="6" t="str">
        <f>IFERROR(VLOOKUP(B153,'[1]Catálogo de e-mails'!$C$2:$D$398,2,0),"Nome não Cadastrado")</f>
        <v>Nome não Cadastrado</v>
      </c>
    </row>
    <row r="154" spans="1:4" ht="16.5">
      <c r="A154" t="str">
        <f>IFERROR(VLOOKUP(B154,'[1]Catálogo de e-mails'!$A$2:$B$267,2,0),"Nome não Cadastrado")</f>
        <v>Nome não Cadastrado</v>
      </c>
      <c r="B154" s="6">
        <f>'Envio de CTes'!B149</f>
        <v>0</v>
      </c>
      <c r="C154" s="6" t="str">
        <f>IFERROR(VLOOKUP(B154,'[1]Catálogo de e-mails'!$C$2:$D$398,2,0),"Nome não Cadastrado")</f>
        <v>Nome não Cadastrado</v>
      </c>
    </row>
    <row r="155" spans="1:4" ht="16.5">
      <c r="A155" t="str">
        <f>IFERROR(VLOOKUP(B155,'[1]Catálogo de e-mails'!$A$2:$B$267,2,0),"Nome não Cadastrado")</f>
        <v>Nome não Cadastrado</v>
      </c>
      <c r="B155" s="6">
        <f>'Envio de CTes'!B150</f>
        <v>0</v>
      </c>
      <c r="C155" s="6" t="str">
        <f>IFERROR(VLOOKUP(B155,'[1]Catálogo de e-mails'!$C$2:$D$398,2,0),"Nome não Cadastrado")</f>
        <v>Nome não Cadastrado</v>
      </c>
    </row>
    <row r="156" spans="1:4" ht="16.5">
      <c r="A156" t="str">
        <f>IFERROR(VLOOKUP(B156,'[1]Catálogo de e-mails'!$A$2:$B$267,2,0),"Nome não Cadastrado")</f>
        <v>Nome não Cadastrado</v>
      </c>
      <c r="B156" s="6">
        <f>'Envio de CTes'!B151</f>
        <v>0</v>
      </c>
      <c r="C156" s="6" t="str">
        <f>IFERROR(VLOOKUP(B156,'[1]Catálogo de e-mails'!$C$2:$D$398,2,0),"Nome não Cadastrado")</f>
        <v>Nome não Cadastrado</v>
      </c>
    </row>
    <row r="157" spans="1:4" ht="16.5">
      <c r="A157" t="str">
        <f>IFERROR(VLOOKUP(B157,'[1]Catálogo de e-mails'!$A$2:$B$267,2,0),"Nome não Cadastrado")</f>
        <v>Nome não Cadastrado</v>
      </c>
      <c r="B157" s="6">
        <f>'Envio de CTes'!B152</f>
        <v>0</v>
      </c>
      <c r="C157" s="6" t="str">
        <f>IFERROR(VLOOKUP(B157,'[1]Catálogo de e-mails'!$C$2:$D$398,2,0),"Nome não Cadastrado")</f>
        <v>Nome não Cadastrado</v>
      </c>
    </row>
    <row r="158" spans="1:4" ht="16.5">
      <c r="A158" t="str">
        <f>IFERROR(VLOOKUP(B158,'[1]Catálogo de e-mails'!$A$2:$B$267,2,0),"Nome não Cadastrado")</f>
        <v>Nome não Cadastrado</v>
      </c>
      <c r="B158" s="6">
        <f>'Envio de CTes'!B153</f>
        <v>0</v>
      </c>
      <c r="C158" s="6" t="str">
        <f>IFERROR(VLOOKUP(B158,'[1]Catálogo de e-mails'!$C$2:$D$398,2,0),"Nome não Cadastrado")</f>
        <v>Nome não Cadastrado</v>
      </c>
    </row>
    <row r="159" spans="1:4" ht="16.5">
      <c r="A159" t="str">
        <f>IFERROR(VLOOKUP(B159,'[1]Catálogo de e-mails'!$A$2:$B$267,2,0),"Nome não Cadastrado")</f>
        <v>Nome não Cadastrado</v>
      </c>
      <c r="B159" s="6">
        <f>'Envio de CTes'!B154</f>
        <v>0</v>
      </c>
      <c r="C159" s="6" t="str">
        <f>IFERROR(VLOOKUP(B159,'[1]Catálogo de e-mails'!$C$2:$D$398,2,0),"Nome não Cadastrado")</f>
        <v>Nome não Cadastrado</v>
      </c>
    </row>
    <row r="160" spans="1:4" ht="16.5">
      <c r="A160" t="str">
        <f>IFERROR(VLOOKUP(B160,'[1]Catálogo de e-mails'!$A$2:$B$267,2,0),"Nome não Cadastrado")</f>
        <v>Nome não Cadastrado</v>
      </c>
      <c r="B160" s="6">
        <f>'Envio de CTes'!B155</f>
        <v>0</v>
      </c>
      <c r="C160" s="6" t="str">
        <f>IFERROR(VLOOKUP(B160,'[1]Catálogo de e-mails'!$C$2:$D$398,2,0),"Nome não Cadastrado")</f>
        <v>Nome não Cadastrado</v>
      </c>
    </row>
    <row r="161" spans="1:3" ht="16.5">
      <c r="A161" t="str">
        <f>IFERROR(VLOOKUP(B161,'[1]Catálogo de e-mails'!$A$2:$B$267,2,0),"Nome não Cadastrado")</f>
        <v>Nome não Cadastrado</v>
      </c>
      <c r="B161" s="6">
        <f>'Envio de CTes'!B156</f>
        <v>0</v>
      </c>
      <c r="C161" s="6" t="str">
        <f>IFERROR(VLOOKUP(B161,'[1]Catálogo de e-mails'!$C$2:$D$398,2,0),"Nome não Cadastrado")</f>
        <v>Nome não Cadastrado</v>
      </c>
    </row>
    <row r="162" spans="1:3" ht="16.5">
      <c r="A162" t="str">
        <f>IFERROR(VLOOKUP(B162,'[1]Catálogo de e-mails'!$A$2:$B$267,2,0),"Nome não Cadastrado")</f>
        <v>Nome não Cadastrado</v>
      </c>
      <c r="B162" s="6">
        <f>'Envio de CTes'!B157</f>
        <v>0</v>
      </c>
      <c r="C162" s="6" t="str">
        <f>IFERROR(VLOOKUP(B162,'[1]Catálogo de e-mails'!$C$2:$D$398,2,0),"Nome não Cadastrado")</f>
        <v>Nome não Cadastrado</v>
      </c>
    </row>
    <row r="163" spans="1:3" ht="16.5">
      <c r="A163" t="str">
        <f>IFERROR(VLOOKUP(B163,'[1]Catálogo de e-mails'!$A$2:$B$267,2,0),"Nome não Cadastrado")</f>
        <v>Nome não Cadastrado</v>
      </c>
      <c r="B163" s="6">
        <f>'Envio de CTes'!B158</f>
        <v>0</v>
      </c>
      <c r="C163" s="6" t="str">
        <f>IFERROR(VLOOKUP(B163,'[1]Catálogo de e-mails'!$C$2:$D$398,2,0),"Nome não Cadastrado")</f>
        <v>Nome não Cadastrado</v>
      </c>
    </row>
    <row r="164" spans="1:3" ht="16.5">
      <c r="A164" t="str">
        <f>IFERROR(VLOOKUP(B164,'[1]Catálogo de e-mails'!$A$2:$B$267,2,0),"Nome não Cadastrado")</f>
        <v>Nome não Cadastrado</v>
      </c>
      <c r="B164" s="6">
        <f>'Envio de CTes'!B159</f>
        <v>0</v>
      </c>
      <c r="C164" s="6" t="str">
        <f>IFERROR(VLOOKUP(B164,'[1]Catálogo de e-mails'!$C$2:$D$398,2,0),"Nome não Cadastrado")</f>
        <v>Nome não Cadastrado</v>
      </c>
    </row>
    <row r="165" spans="1:3" ht="16.5">
      <c r="A165" t="str">
        <f>IFERROR(VLOOKUP(B165,'[1]Catálogo de e-mails'!$A$2:$B$267,2,0),"Nome não Cadastrado")</f>
        <v>Nome não Cadastrado</v>
      </c>
      <c r="B165" s="6">
        <f>'Envio de CTes'!B160</f>
        <v>0</v>
      </c>
      <c r="C165" s="6" t="str">
        <f>IFERROR(VLOOKUP(B165,'[1]Catálogo de e-mails'!$C$2:$D$398,2,0),"Nome não Cadastrado")</f>
        <v>Nome não Cadastrado</v>
      </c>
    </row>
    <row r="166" spans="1:3" ht="16.5">
      <c r="A166" t="str">
        <f>IFERROR(VLOOKUP(B166,'[1]Catálogo de e-mails'!$A$2:$B$267,2,0),"Nome não Cadastrado")</f>
        <v>Nome não Cadastrado</v>
      </c>
      <c r="C166" s="6" t="str">
        <f>IFERROR(VLOOKUP(B166,'[1]Catálogo de e-mails'!$C$2:$D$398,2,0),"Nome não Cadastrado")</f>
        <v>Nome não Cadastrado</v>
      </c>
    </row>
    <row r="167" spans="1:3" ht="16.5">
      <c r="A167" t="str">
        <f>IFERROR(VLOOKUP(B167,'[1]Catálogo de e-mails'!$A$2:$B$267,2,0),"Nome não Cadastrado")</f>
        <v>Nome não Cadastrado</v>
      </c>
      <c r="C167" s="6" t="str">
        <f>IFERROR(VLOOKUP(B167,'[1]Catálogo de e-mails'!$C$2:$D$398,2,0),"Nome não Cadastrado")</f>
        <v>Nome não Cadastrado</v>
      </c>
    </row>
    <row r="168" spans="1:3" ht="16.5">
      <c r="A168" t="str">
        <f>IFERROR(VLOOKUP(B168,'[1]Catálogo de e-mails'!$A$2:$B$267,2,0),"Nome não Cadastrado")</f>
        <v>Nome não Cadastrado</v>
      </c>
      <c r="C168" s="6" t="str">
        <f>IFERROR(VLOOKUP(B168,'[1]Catálogo de e-mails'!$C$2:$D$398,2,0),"Nome não Cadastrado")</f>
        <v>Nome não Cadastrado</v>
      </c>
    </row>
    <row r="169" spans="1:3" ht="16.5">
      <c r="A169" t="str">
        <f>IFERROR(VLOOKUP(B169,'[1]Catálogo de e-mails'!$A$2:$B$267,2,0),"Nome não Cadastrado")</f>
        <v>Nome não Cadastrado</v>
      </c>
      <c r="C169" s="6" t="str">
        <f>IFERROR(VLOOKUP(B169,'[1]Catálogo de e-mails'!$C$2:$D$398,2,0),"Nome não Cadastrado")</f>
        <v>Nome não Cadastrado</v>
      </c>
    </row>
    <row r="170" spans="1:3" ht="16.5">
      <c r="A170" t="str">
        <f>IFERROR(VLOOKUP(B170,'[1]Catálogo de e-mails'!$A$2:$B$267,2,0),"Nome não Cadastrado")</f>
        <v>Nome não Cadastrado</v>
      </c>
      <c r="C170" s="6" t="str">
        <f>IFERROR(VLOOKUP(B170,'[1]Catálogo de e-mails'!$C$2:$D$398,2,0),"Nome não Cadastrado")</f>
        <v>Nome não Cadastrado</v>
      </c>
    </row>
    <row r="171" spans="1:3" ht="16.5">
      <c r="A171" t="str">
        <f>IFERROR(VLOOKUP(B171,'[1]Catálogo de e-mails'!$A$2:$B$267,2,0),"Nome não Cadastrado")</f>
        <v>Nome não Cadastrado</v>
      </c>
      <c r="C171" s="6" t="str">
        <f>IFERROR(VLOOKUP(B171,'[1]Catálogo de e-mails'!$C$2:$D$398,2,0),"Nome não Cadastrado")</f>
        <v>Nome não Cadastrado</v>
      </c>
    </row>
    <row r="172" spans="1:3" ht="16.5">
      <c r="A172" t="str">
        <f>IFERROR(VLOOKUP(B172,'[1]Catálogo de e-mails'!$A$2:$B$267,2,0),"Nome não Cadastrado")</f>
        <v>Nome não Cadastrado</v>
      </c>
      <c r="C172" s="6" t="str">
        <f>IFERROR(VLOOKUP(B172,'[1]Catálogo de e-mails'!$C$2:$D$398,2,0),"Nome não Cadastrado")</f>
        <v>Nome não Cadastrado</v>
      </c>
    </row>
    <row r="173" spans="1:3" ht="16.5">
      <c r="A173" t="str">
        <f>IFERROR(VLOOKUP(B173,'[1]Catálogo de e-mails'!$A$2:$B$267,2,0),"Nome não Cadastrado")</f>
        <v>Nome não Cadastrado</v>
      </c>
      <c r="C173" s="6" t="str">
        <f>IFERROR(VLOOKUP(B173,'[1]Catálogo de e-mails'!$C$2:$D$398,2,0),"Nome não Cadastrado")</f>
        <v>Nome não Cadastrado</v>
      </c>
    </row>
    <row r="174" spans="1:3" ht="16.5">
      <c r="A174" t="str">
        <f>IFERROR(VLOOKUP(B174,'[1]Catálogo de e-mails'!$A$2:$B$267,2,0),"Nome não Cadastrado")</f>
        <v>Nome não Cadastrado</v>
      </c>
      <c r="C174" s="6" t="str">
        <f>IFERROR(VLOOKUP(B174,'[1]Catálogo de e-mails'!$C$2:$D$398,2,0),"Nome não Cadastrado")</f>
        <v>Nome não Cadastrado</v>
      </c>
    </row>
    <row r="175" spans="1:3" ht="16.5">
      <c r="A175" t="str">
        <f>IFERROR(VLOOKUP(B175,'[1]Catálogo de e-mails'!$A$2:$B$267,2,0),"Nome não Cadastrado")</f>
        <v>Nome não Cadastrado</v>
      </c>
      <c r="C175" s="6" t="str">
        <f>IFERROR(VLOOKUP(B175,'[1]Catálogo de e-mails'!$C$2:$D$398,2,0),"Nome não Cadastrado")</f>
        <v>Nome não Cadastrado</v>
      </c>
    </row>
    <row r="176" spans="1:3" ht="16.5">
      <c r="A176" t="str">
        <f>IFERROR(VLOOKUP(B176,'[1]Catálogo de e-mails'!$A$2:$B$267,2,0),"Nome não Cadastrado")</f>
        <v>Nome não Cadastrado</v>
      </c>
      <c r="C176" s="6" t="str">
        <f>IFERROR(VLOOKUP(B176,'[1]Catálogo de e-mails'!$C$2:$D$398,2,0),"Nome não Cadastrado")</f>
        <v>Nome não Cadastrado</v>
      </c>
    </row>
    <row r="177" spans="1:3" ht="16.5">
      <c r="A177" t="str">
        <f>IFERROR(VLOOKUP(B177,'[1]Catálogo de e-mails'!$A$2:$B$267,2,0),"Nome não Cadastrado")</f>
        <v>Nome não Cadastrado</v>
      </c>
      <c r="C177" s="6" t="str">
        <f>IFERROR(VLOOKUP(B177,'[1]Catálogo de e-mails'!$C$2:$D$398,2,0),"Nome não Cadastrado")</f>
        <v>Nome não Cadastrado</v>
      </c>
    </row>
    <row r="178" spans="1:3" ht="16.5">
      <c r="A178" t="str">
        <f>IFERROR(VLOOKUP(B178,'[1]Catálogo de e-mails'!$A$2:$B$267,2,0),"Nome não Cadastrado")</f>
        <v>Nome não Cadastrado</v>
      </c>
      <c r="C178" s="6" t="str">
        <f>IFERROR(VLOOKUP(B178,'[1]Catálogo de e-mails'!$C$2:$D$398,2,0),"Nome não Cadastrado")</f>
        <v>Nome não Cadastrado</v>
      </c>
    </row>
    <row r="179" spans="1:3" ht="16.5">
      <c r="A179" t="str">
        <f>IFERROR(VLOOKUP(B179,'[1]Catálogo de e-mails'!$A$2:$B$267,2,0),"Nome não Cadastrado")</f>
        <v>Nome não Cadastrado</v>
      </c>
      <c r="C179" s="6" t="str">
        <f>IFERROR(VLOOKUP(B179,'[1]Catálogo de e-mails'!$C$2:$D$398,2,0),"Nome não Cadastrado")</f>
        <v>Nome não Cadastrado</v>
      </c>
    </row>
    <row r="180" spans="1:3" ht="16.5">
      <c r="A180" t="str">
        <f>IFERROR(VLOOKUP(B180,'[1]Catálogo de e-mails'!$A$2:$B$267,2,0),"Nome não Cadastrado")</f>
        <v>Nome não Cadastrado</v>
      </c>
      <c r="C180" s="6" t="str">
        <f>IFERROR(VLOOKUP(B180,'[1]Catálogo de e-mails'!$C$2:$D$398,2,0),"Nome não Cadastrado")</f>
        <v>Nome não Cadastrado</v>
      </c>
    </row>
    <row r="181" spans="1:3" ht="16.5">
      <c r="A181" t="str">
        <f>IFERROR(VLOOKUP(B181,'[1]Catálogo de e-mails'!$A$2:$B$267,2,0),"Nome não Cadastrado")</f>
        <v>Nome não Cadastrado</v>
      </c>
      <c r="C181" s="6" t="str">
        <f>IFERROR(VLOOKUP(B181,'[1]Catálogo de e-mails'!$C$2:$D$398,2,0),"Nome não Cadastrado")</f>
        <v>Nome não Cadastrado</v>
      </c>
    </row>
    <row r="182" spans="1:3" ht="16.5">
      <c r="A182" t="str">
        <f>IFERROR(VLOOKUP(B182,'[1]Catálogo de e-mails'!$A$2:$B$267,2,0),"Nome não Cadastrado")</f>
        <v>Nome não Cadastrado</v>
      </c>
      <c r="C182" s="6" t="str">
        <f>IFERROR(VLOOKUP(B182,'[1]Catálogo de e-mails'!$C$2:$D$398,2,0),"Nome não Cadastrado")</f>
        <v>Nome não Cadastrado</v>
      </c>
    </row>
    <row r="183" spans="1:3" ht="16.5">
      <c r="A183" t="str">
        <f>IFERROR(VLOOKUP(B183,'[1]Catálogo de e-mails'!$A$2:$B$267,2,0),"Nome não Cadastrado")</f>
        <v>Nome não Cadastrado</v>
      </c>
      <c r="C183" s="6" t="str">
        <f>IFERROR(VLOOKUP(B183,'[1]Catálogo de e-mails'!$C$2:$D$398,2,0),"Nome não Cadastrado")</f>
        <v>Nome não Cadastrado</v>
      </c>
    </row>
    <row r="184" spans="1:3" ht="16.5">
      <c r="A184" t="str">
        <f>IFERROR(VLOOKUP(B184,'[1]Catálogo de e-mails'!$A$2:$B$267,2,0),"Nome não Cadastrado")</f>
        <v>Nome não Cadastrado</v>
      </c>
      <c r="C184" s="6" t="str">
        <f>IFERROR(VLOOKUP(B184,'[1]Catálogo de e-mails'!$C$2:$D$398,2,0),"Nome não Cadastrado")</f>
        <v>Nome não Cadastrado</v>
      </c>
    </row>
    <row r="185" spans="1:3" ht="16.5">
      <c r="A185" t="str">
        <f>IFERROR(VLOOKUP(B185,'[1]Catálogo de e-mails'!$A$2:$B$267,2,0),"Nome não Cadastrado")</f>
        <v>Nome não Cadastrado</v>
      </c>
      <c r="C185" s="6" t="str">
        <f>IFERROR(VLOOKUP(B185,'[1]Catálogo de e-mails'!$C$2:$D$398,2,0),"Nome não Cadastrado")</f>
        <v>Nome não Cadastrado</v>
      </c>
    </row>
    <row r="186" spans="1:3" ht="16.5">
      <c r="A186" t="str">
        <f>IFERROR(VLOOKUP(B186,'[1]Catálogo de e-mails'!$A$2:$B$267,2,0),"Nome não Cadastrado")</f>
        <v>Nome não Cadastrado</v>
      </c>
      <c r="C186" s="6" t="str">
        <f>IFERROR(VLOOKUP(B186,'[1]Catálogo de e-mails'!$C$2:$D$398,2,0),"Nome não Cadastrado")</f>
        <v>Nome não Cadastrado</v>
      </c>
    </row>
    <row r="187" spans="1:3" ht="16.5">
      <c r="A187" t="str">
        <f>IFERROR(VLOOKUP(B187,'[1]Catálogo de e-mails'!$A$2:$B$267,2,0),"Nome não Cadastrado")</f>
        <v>Nome não Cadastrado</v>
      </c>
      <c r="C187" s="6" t="str">
        <f>IFERROR(VLOOKUP(B187,'[1]Catálogo de e-mails'!$C$2:$D$398,2,0),"Nome não Cadastrado")</f>
        <v>Nome não Cadastrado</v>
      </c>
    </row>
    <row r="188" spans="1:3" ht="16.5">
      <c r="A188" t="str">
        <f>IFERROR(VLOOKUP(B188,'[1]Catálogo de e-mails'!$A$2:$B$267,2,0),"Nome não Cadastrado")</f>
        <v>Nome não Cadastrado</v>
      </c>
      <c r="C188" s="6" t="str">
        <f>IFERROR(VLOOKUP(B188,'[1]Catálogo de e-mails'!$C$2:$D$398,2,0),"Nome não Cadastrado")</f>
        <v>Nome não Cadastrado</v>
      </c>
    </row>
    <row r="189" spans="1:3" ht="16.5">
      <c r="A189" t="str">
        <f>IFERROR(VLOOKUP(B189,'[1]Catálogo de e-mails'!$A$2:$B$267,2,0),"Nome não Cadastrado")</f>
        <v>Nome não Cadastrado</v>
      </c>
      <c r="C189" s="6" t="str">
        <f>IFERROR(VLOOKUP(B189,'[1]Catálogo de e-mails'!$C$2:$D$398,2,0),"Nome não Cadastrado")</f>
        <v>Nome não Cadastrado</v>
      </c>
    </row>
    <row r="190" spans="1:3" ht="16.5">
      <c r="A190" t="str">
        <f>IFERROR(VLOOKUP(B190,'[1]Catálogo de e-mails'!$A$2:$B$267,2,0),"Nome não Cadastrado")</f>
        <v>Nome não Cadastrado</v>
      </c>
      <c r="C190" s="6" t="str">
        <f>IFERROR(VLOOKUP(B190,'[1]Catálogo de e-mails'!$C$2:$D$398,2,0),"Nome não Cadastrado")</f>
        <v>Nome não Cadastrado</v>
      </c>
    </row>
    <row r="191" spans="1:3" ht="16.5">
      <c r="A191" t="str">
        <f>IFERROR(VLOOKUP(B191,'[1]Catálogo de e-mails'!$A$2:$B$267,2,0),"Nome não Cadastrado")</f>
        <v>Nome não Cadastrado</v>
      </c>
      <c r="C191" s="6" t="str">
        <f>IFERROR(VLOOKUP(B191,'[1]Catálogo de e-mails'!$C$2:$D$398,2,0),"Nome não Cadastrado")</f>
        <v>Nome não Cadastrado</v>
      </c>
    </row>
  </sheetData>
  <sheetProtection formatCells="0" formatColumns="0" formatRows="0" insertColumns="0"/>
  <autoFilter ref="A1:D264" xr:uid="{8E94B75F-7E86-4BDD-85A7-CE2C12AEB5B8}"/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R160"/>
  <sheetViews>
    <sheetView showGridLines="0" showZeros="0" tabSelected="1" zoomScale="96" zoomScaleNormal="96" workbookViewId="0">
      <selection activeCell="H16" sqref="H16"/>
    </sheetView>
  </sheetViews>
  <sheetFormatPr defaultColWidth="8.7109375" defaultRowHeight="15"/>
  <cols>
    <col min="1" max="1" width="29.7109375" customWidth="1"/>
    <col min="2" max="2" width="20.7109375" style="8" customWidth="1"/>
    <col min="3" max="3" width="23.28515625" customWidth="1"/>
    <col min="4" max="4" width="7" style="14" customWidth="1"/>
    <col min="5" max="5" width="8.28515625" style="14" customWidth="1"/>
    <col min="6" max="6" width="10.5703125" style="3" customWidth="1"/>
    <col min="7" max="7" width="3.85546875" style="3" customWidth="1"/>
    <col min="8" max="8" width="13.42578125" style="11" customWidth="1"/>
    <col min="9" max="9" width="12.85546875" style="8" customWidth="1"/>
    <col min="10" max="10" width="10.5703125" hidden="1" customWidth="1"/>
    <col min="11" max="11" width="15.28515625" customWidth="1"/>
    <col min="12" max="12" width="15.85546875" style="3" customWidth="1"/>
    <col min="13" max="13" width="15.85546875" hidden="1" customWidth="1"/>
    <col min="14" max="14" width="18.42578125" customWidth="1"/>
    <col min="15" max="15" width="8.7109375" style="3"/>
    <col min="16" max="16" width="10.85546875" style="3" bestFit="1" customWidth="1"/>
    <col min="17" max="16384" width="8.7109375" style="3"/>
  </cols>
  <sheetData>
    <row r="1" spans="1:18" ht="50.25" customHeight="1"/>
    <row r="2" spans="1:18">
      <c r="A2" s="4" t="s">
        <v>0</v>
      </c>
      <c r="B2" s="7" t="s">
        <v>1</v>
      </c>
      <c r="C2" s="4" t="s">
        <v>2</v>
      </c>
      <c r="D2" s="2" t="s">
        <v>3</v>
      </c>
      <c r="E2" s="2" t="s">
        <v>17</v>
      </c>
      <c r="F2" s="2" t="s">
        <v>16</v>
      </c>
      <c r="G2" s="2" t="s">
        <v>4</v>
      </c>
      <c r="H2" s="9" t="s">
        <v>7</v>
      </c>
      <c r="I2" s="7" t="s">
        <v>8</v>
      </c>
      <c r="J2" s="15"/>
      <c r="K2" s="20" t="s">
        <v>10</v>
      </c>
      <c r="L2" s="17" t="s">
        <v>13</v>
      </c>
      <c r="M2" s="22"/>
      <c r="N2" s="22" t="s">
        <v>11</v>
      </c>
      <c r="O2" s="22" t="s">
        <v>70</v>
      </c>
      <c r="P2" s="7" t="s">
        <v>68</v>
      </c>
      <c r="Q2" s="7" t="s">
        <v>69</v>
      </c>
      <c r="R2" s="3" t="s">
        <v>71</v>
      </c>
    </row>
    <row r="3" spans="1:18" ht="16.5">
      <c r="A3" s="1" t="s">
        <v>72</v>
      </c>
      <c r="B3" s="23" t="s">
        <v>47</v>
      </c>
      <c r="C3" s="19" t="str">
        <f>PROCV!A2</f>
        <v>CS BRASIL - São José</v>
      </c>
      <c r="D3" s="25">
        <v>105</v>
      </c>
      <c r="E3" s="25">
        <v>10685</v>
      </c>
      <c r="F3" s="26">
        <v>10633</v>
      </c>
      <c r="G3" s="23">
        <v>1</v>
      </c>
      <c r="H3" s="27">
        <v>44943</v>
      </c>
      <c r="I3" s="28">
        <v>2400</v>
      </c>
      <c r="J3" s="16" t="s">
        <v>9</v>
      </c>
      <c r="K3" s="21" t="str">
        <f t="shared" ref="K3:K26" si="0">_xlfn.CONCAT(J3,F3)</f>
        <v>Boleto-10633</v>
      </c>
      <c r="L3" s="13" t="s">
        <v>56</v>
      </c>
      <c r="M3" s="21" t="str">
        <f t="shared" ref="M3:M28" si="1">RIGHT(L3,LEN(L3)-1)</f>
        <v>62226226174</v>
      </c>
      <c r="N3" s="21" t="str">
        <f>LEFT(M3,LEN(M3)-1)</f>
        <v>6222622617</v>
      </c>
      <c r="O3" s="13"/>
      <c r="P3" s="11">
        <f>H3-5</f>
        <v>44938</v>
      </c>
      <c r="Q3" s="30">
        <v>0.34375</v>
      </c>
    </row>
    <row r="4" spans="1:18" ht="16.5">
      <c r="A4" s="1" t="s">
        <v>72</v>
      </c>
      <c r="B4" s="24" t="s">
        <v>47</v>
      </c>
      <c r="C4" s="19" t="str">
        <f>PROCV!A3</f>
        <v>CS BRASIL - São José</v>
      </c>
      <c r="D4" s="29">
        <v>105</v>
      </c>
      <c r="E4" s="29">
        <v>10686</v>
      </c>
      <c r="F4" s="26">
        <v>10634</v>
      </c>
      <c r="G4" s="26">
        <v>1</v>
      </c>
      <c r="H4" s="27">
        <v>44943</v>
      </c>
      <c r="I4" s="12">
        <v>1600</v>
      </c>
      <c r="J4" s="16" t="s">
        <v>9</v>
      </c>
      <c r="K4" s="21" t="str">
        <f t="shared" si="0"/>
        <v>Boleto-10634</v>
      </c>
      <c r="L4" s="13" t="s">
        <v>57</v>
      </c>
      <c r="M4" s="21" t="str">
        <f t="shared" si="1"/>
        <v>62226226182</v>
      </c>
      <c r="N4" s="21" t="str">
        <f t="shared" ref="N4:N56" si="2">LEFT(M4,LEN(M4)-1)</f>
        <v>6222622618</v>
      </c>
      <c r="P4" s="11">
        <f t="shared" ref="P4:P14" si="3">H4-5</f>
        <v>44938</v>
      </c>
      <c r="Q4" s="30">
        <v>0.34375</v>
      </c>
    </row>
    <row r="5" spans="1:18" ht="16.5">
      <c r="A5" s="1" t="s">
        <v>72</v>
      </c>
      <c r="B5" s="23" t="s">
        <v>48</v>
      </c>
      <c r="C5" s="19" t="str">
        <f>PROCV!A4</f>
        <v xml:space="preserve">TAI MOTORS </v>
      </c>
      <c r="D5" s="25">
        <v>107</v>
      </c>
      <c r="E5" s="25">
        <v>16919</v>
      </c>
      <c r="F5" s="26">
        <v>13612</v>
      </c>
      <c r="G5" s="23">
        <v>1</v>
      </c>
      <c r="H5" s="27">
        <v>44943</v>
      </c>
      <c r="I5" s="28">
        <v>650</v>
      </c>
      <c r="J5" s="16" t="s">
        <v>9</v>
      </c>
      <c r="K5" s="21" t="str">
        <f t="shared" si="0"/>
        <v>Boleto-13612</v>
      </c>
      <c r="L5" s="13" t="s">
        <v>58</v>
      </c>
      <c r="M5" s="21" t="str">
        <f t="shared" si="1"/>
        <v>62226226190</v>
      </c>
      <c r="N5" s="21" t="str">
        <f t="shared" si="2"/>
        <v>6222622619</v>
      </c>
      <c r="P5" s="11">
        <f t="shared" si="3"/>
        <v>44938</v>
      </c>
      <c r="Q5" s="30">
        <v>0.34375</v>
      </c>
    </row>
    <row r="6" spans="1:18" ht="16.5">
      <c r="A6" s="1" t="s">
        <v>72</v>
      </c>
      <c r="B6" s="23" t="s">
        <v>49</v>
      </c>
      <c r="C6" s="19" t="str">
        <f>PROCV!A6</f>
        <v>Meta Central de Veiculos</v>
      </c>
      <c r="D6" s="25">
        <v>107</v>
      </c>
      <c r="E6" s="25">
        <v>16921</v>
      </c>
      <c r="F6" s="26">
        <v>13614</v>
      </c>
      <c r="G6" s="23">
        <v>1</v>
      </c>
      <c r="H6" s="27">
        <v>44943</v>
      </c>
      <c r="I6" s="28">
        <v>3500</v>
      </c>
      <c r="J6" s="16" t="s">
        <v>9</v>
      </c>
      <c r="K6" s="21" t="str">
        <f t="shared" si="0"/>
        <v>Boleto-13614</v>
      </c>
      <c r="L6" s="13" t="s">
        <v>59</v>
      </c>
      <c r="M6" s="21" t="str">
        <f t="shared" si="1"/>
        <v>62226226204</v>
      </c>
      <c r="N6" s="21" t="str">
        <f t="shared" si="2"/>
        <v>6222622620</v>
      </c>
      <c r="P6" s="11">
        <f t="shared" si="3"/>
        <v>44938</v>
      </c>
      <c r="Q6" s="30">
        <v>0.34375</v>
      </c>
    </row>
    <row r="7" spans="1:18" ht="16.5">
      <c r="A7" s="1" t="s">
        <v>72</v>
      </c>
      <c r="B7" s="23" t="s">
        <v>50</v>
      </c>
      <c r="C7" s="19" t="str">
        <f>PROCV!A7</f>
        <v>2Japão</v>
      </c>
      <c r="D7" s="25">
        <v>108</v>
      </c>
      <c r="E7" s="25">
        <v>26201</v>
      </c>
      <c r="F7" s="26">
        <v>26015</v>
      </c>
      <c r="G7" s="23">
        <v>1</v>
      </c>
      <c r="H7" s="27">
        <v>44943</v>
      </c>
      <c r="I7" s="28">
        <v>4000</v>
      </c>
      <c r="J7" s="16" t="s">
        <v>9</v>
      </c>
      <c r="K7" s="21" t="str">
        <f t="shared" si="0"/>
        <v>Boleto-26015</v>
      </c>
      <c r="L7" s="13" t="s">
        <v>60</v>
      </c>
      <c r="M7" s="21" t="str">
        <f t="shared" si="1"/>
        <v>62226226212</v>
      </c>
      <c r="N7" s="21" t="str">
        <f t="shared" si="2"/>
        <v>6222622621</v>
      </c>
      <c r="P7" s="11">
        <f t="shared" si="3"/>
        <v>44938</v>
      </c>
      <c r="Q7" s="30">
        <v>0.34375</v>
      </c>
    </row>
    <row r="8" spans="1:18" ht="16.5">
      <c r="A8" s="1" t="s">
        <v>72</v>
      </c>
      <c r="B8" s="23" t="s">
        <v>51</v>
      </c>
      <c r="C8" s="19" t="str">
        <f>PROCV!A8</f>
        <v>Transrio - São Leopoldo</v>
      </c>
      <c r="D8" s="25">
        <v>109</v>
      </c>
      <c r="E8" s="25">
        <v>98150</v>
      </c>
      <c r="F8" s="26">
        <v>79775</v>
      </c>
      <c r="G8" s="23">
        <v>1</v>
      </c>
      <c r="H8" s="27">
        <v>44953</v>
      </c>
      <c r="I8" s="28">
        <v>4812.95</v>
      </c>
      <c r="J8" s="16" t="s">
        <v>9</v>
      </c>
      <c r="K8" s="21" t="str">
        <f t="shared" si="0"/>
        <v>Boleto-79775</v>
      </c>
      <c r="L8" s="13" t="s">
        <v>61</v>
      </c>
      <c r="M8" s="21" t="str">
        <f t="shared" si="1"/>
        <v>62226226239</v>
      </c>
      <c r="N8" s="21" t="str">
        <f t="shared" si="2"/>
        <v>6222622623</v>
      </c>
      <c r="P8" s="11">
        <f t="shared" si="3"/>
        <v>44948</v>
      </c>
      <c r="Q8" s="30">
        <v>0.34375</v>
      </c>
    </row>
    <row r="9" spans="1:18" ht="16.5">
      <c r="A9" s="1" t="s">
        <v>72</v>
      </c>
      <c r="B9" s="23" t="s">
        <v>51</v>
      </c>
      <c r="C9" s="19" t="str">
        <f>PROCV!A9</f>
        <v>Transrio - São Leopoldo</v>
      </c>
      <c r="D9" s="25">
        <v>109</v>
      </c>
      <c r="E9" s="25">
        <v>98151</v>
      </c>
      <c r="F9" s="26">
        <v>79776</v>
      </c>
      <c r="G9" s="23">
        <v>1</v>
      </c>
      <c r="H9" s="27">
        <v>44953</v>
      </c>
      <c r="I9" s="28">
        <v>4812.95</v>
      </c>
      <c r="J9" s="16" t="s">
        <v>9</v>
      </c>
      <c r="K9" s="21" t="str">
        <f t="shared" si="0"/>
        <v>Boleto-79776</v>
      </c>
      <c r="L9" s="13" t="s">
        <v>62</v>
      </c>
      <c r="M9" s="21" t="str">
        <f t="shared" si="1"/>
        <v>62226226247</v>
      </c>
      <c r="N9" s="21" t="str">
        <f t="shared" si="2"/>
        <v>6222622624</v>
      </c>
      <c r="P9" s="11">
        <f t="shared" si="3"/>
        <v>44948</v>
      </c>
      <c r="Q9" s="30">
        <v>0.34375</v>
      </c>
    </row>
    <row r="10" spans="1:18" ht="16.5">
      <c r="A10" s="1" t="s">
        <v>72</v>
      </c>
      <c r="B10" s="23" t="s">
        <v>52</v>
      </c>
      <c r="C10" s="19" t="str">
        <f>PROCV!A10</f>
        <v>DF Maq - Fortaleza</v>
      </c>
      <c r="D10" s="25">
        <v>109</v>
      </c>
      <c r="E10" s="25">
        <v>98152</v>
      </c>
      <c r="F10" s="26">
        <v>388</v>
      </c>
      <c r="G10" s="23">
        <v>2</v>
      </c>
      <c r="H10" s="27">
        <v>44951</v>
      </c>
      <c r="I10" s="28">
        <v>2300</v>
      </c>
      <c r="J10" s="16" t="s">
        <v>9</v>
      </c>
      <c r="K10" s="21" t="str">
        <f t="shared" si="0"/>
        <v>Boleto-388</v>
      </c>
      <c r="L10" s="13" t="s">
        <v>63</v>
      </c>
      <c r="M10" s="21" t="str">
        <f t="shared" si="1"/>
        <v>62226226255</v>
      </c>
      <c r="N10" s="21" t="str">
        <f t="shared" si="2"/>
        <v>6222622625</v>
      </c>
      <c r="P10" s="11">
        <f t="shared" si="3"/>
        <v>44946</v>
      </c>
      <c r="Q10" s="30">
        <v>0.34375</v>
      </c>
    </row>
    <row r="11" spans="1:18" ht="16.5">
      <c r="A11" s="1" t="s">
        <v>72</v>
      </c>
      <c r="B11" s="23" t="s">
        <v>53</v>
      </c>
      <c r="C11" s="19" t="str">
        <f>PROCV!A11</f>
        <v>Faberge</v>
      </c>
      <c r="D11" s="25">
        <v>110</v>
      </c>
      <c r="E11" s="25">
        <v>65503</v>
      </c>
      <c r="F11" s="26">
        <v>61006</v>
      </c>
      <c r="G11" s="23">
        <v>1</v>
      </c>
      <c r="H11" s="27">
        <v>44943</v>
      </c>
      <c r="I11" s="28">
        <v>2270</v>
      </c>
      <c r="J11" s="16" t="s">
        <v>9</v>
      </c>
      <c r="K11" s="21" t="str">
        <f t="shared" si="0"/>
        <v>Boleto-61006</v>
      </c>
      <c r="L11" s="13" t="s">
        <v>64</v>
      </c>
      <c r="M11" s="21" t="str">
        <f t="shared" si="1"/>
        <v>62226226263</v>
      </c>
      <c r="N11" s="21" t="str">
        <f t="shared" si="2"/>
        <v>6222622626</v>
      </c>
      <c r="P11" s="11">
        <f t="shared" si="3"/>
        <v>44938</v>
      </c>
      <c r="Q11" s="30">
        <v>0.34375</v>
      </c>
    </row>
    <row r="12" spans="1:18" ht="16.5">
      <c r="A12" s="1" t="s">
        <v>72</v>
      </c>
      <c r="B12" s="23" t="s">
        <v>54</v>
      </c>
      <c r="C12" s="19" t="str">
        <f>PROCV!A12</f>
        <v>Lets Rent a Car</v>
      </c>
      <c r="D12" s="25">
        <v>110</v>
      </c>
      <c r="E12" s="25">
        <v>65504</v>
      </c>
      <c r="F12" s="26">
        <v>61007</v>
      </c>
      <c r="G12" s="23">
        <v>1</v>
      </c>
      <c r="H12" s="27">
        <v>44953</v>
      </c>
      <c r="I12" s="28">
        <v>8000</v>
      </c>
      <c r="J12" s="16" t="s">
        <v>9</v>
      </c>
      <c r="K12" s="21" t="str">
        <f t="shared" si="0"/>
        <v>Boleto-61007</v>
      </c>
      <c r="L12" s="13" t="s">
        <v>65</v>
      </c>
      <c r="M12" s="21" t="str">
        <f t="shared" si="1"/>
        <v>62226226271</v>
      </c>
      <c r="N12" s="21" t="str">
        <f t="shared" si="2"/>
        <v>6222622627</v>
      </c>
      <c r="P12" s="11">
        <f t="shared" si="3"/>
        <v>44948</v>
      </c>
      <c r="Q12" s="30">
        <v>0.34375</v>
      </c>
    </row>
    <row r="13" spans="1:18" ht="15" customHeight="1">
      <c r="A13" s="1" t="s">
        <v>72</v>
      </c>
      <c r="B13" s="23" t="s">
        <v>55</v>
      </c>
      <c r="C13" s="19" t="str">
        <f>PROCV!A13</f>
        <v>Tramontina Nordeste</v>
      </c>
      <c r="D13" s="25">
        <v>111</v>
      </c>
      <c r="E13" s="25">
        <v>15558</v>
      </c>
      <c r="F13" s="26">
        <v>1278</v>
      </c>
      <c r="G13" s="23">
        <v>2</v>
      </c>
      <c r="H13" s="27">
        <v>44943</v>
      </c>
      <c r="I13" s="28">
        <v>2000</v>
      </c>
      <c r="J13" s="16" t="s">
        <v>9</v>
      </c>
      <c r="K13" s="21" t="str">
        <f t="shared" si="0"/>
        <v>Boleto-1278</v>
      </c>
      <c r="L13" s="13" t="s">
        <v>66</v>
      </c>
      <c r="M13" s="21" t="str">
        <f t="shared" si="1"/>
        <v>6222622628X</v>
      </c>
      <c r="N13" s="21" t="str">
        <f t="shared" si="2"/>
        <v>6222622628</v>
      </c>
      <c r="P13" s="11">
        <f t="shared" si="3"/>
        <v>44938</v>
      </c>
      <c r="Q13" s="30">
        <v>0.34375</v>
      </c>
    </row>
    <row r="14" spans="1:18" ht="16.5">
      <c r="A14" s="1" t="s">
        <v>72</v>
      </c>
      <c r="B14" s="23" t="s">
        <v>46</v>
      </c>
      <c r="C14" s="19" t="str">
        <f>PROCV!A14</f>
        <v>A Central</v>
      </c>
      <c r="D14" s="25">
        <v>111</v>
      </c>
      <c r="E14" s="25">
        <v>15559</v>
      </c>
      <c r="F14" s="26">
        <v>14164</v>
      </c>
      <c r="G14" s="23">
        <v>1</v>
      </c>
      <c r="H14" s="27">
        <v>44943</v>
      </c>
      <c r="I14" s="28">
        <v>2000</v>
      </c>
      <c r="J14" s="16" t="s">
        <v>9</v>
      </c>
      <c r="K14" s="21" t="str">
        <f t="shared" si="0"/>
        <v>Boleto-14164</v>
      </c>
      <c r="L14" s="13" t="s">
        <v>67</v>
      </c>
      <c r="M14" s="21" t="str">
        <f t="shared" si="1"/>
        <v>62226226298</v>
      </c>
      <c r="N14" s="21" t="str">
        <f t="shared" si="2"/>
        <v>6222622629</v>
      </c>
      <c r="P14" s="11">
        <f t="shared" si="3"/>
        <v>44938</v>
      </c>
      <c r="Q14" s="30">
        <v>0.34375</v>
      </c>
    </row>
    <row r="15" spans="1:18" ht="16.5">
      <c r="A15" s="1" t="str">
        <f>PROCV!C21</f>
        <v>Nome não Cadastrado</v>
      </c>
      <c r="B15" s="23"/>
      <c r="C15" s="19" t="str">
        <f>PROCV!A21</f>
        <v>Nome não Cadastrado</v>
      </c>
      <c r="D15" s="25"/>
      <c r="E15" s="25"/>
      <c r="F15" s="26"/>
      <c r="G15" s="23"/>
      <c r="H15" s="27"/>
      <c r="I15" s="28"/>
      <c r="J15" s="16" t="s">
        <v>9</v>
      </c>
      <c r="K15" s="21" t="str">
        <f t="shared" si="0"/>
        <v>Boleto-</v>
      </c>
      <c r="L15" s="13"/>
      <c r="M15" s="21" t="e">
        <f t="shared" si="1"/>
        <v>#VALUE!</v>
      </c>
      <c r="N15" s="21" t="e">
        <f t="shared" si="2"/>
        <v>#VALUE!</v>
      </c>
    </row>
    <row r="16" spans="1:18" ht="16.5">
      <c r="A16" s="1" t="str">
        <f>PROCV!C22</f>
        <v>Nome não Cadastrado</v>
      </c>
      <c r="B16" s="23"/>
      <c r="C16" s="19" t="str">
        <f>PROCV!A22</f>
        <v>Nome não Cadastrado</v>
      </c>
      <c r="D16" s="25"/>
      <c r="E16" s="25"/>
      <c r="F16" s="26"/>
      <c r="G16" s="23"/>
      <c r="H16" s="27"/>
      <c r="I16" s="28"/>
      <c r="J16" s="16" t="s">
        <v>9</v>
      </c>
      <c r="K16" s="21" t="str">
        <f t="shared" si="0"/>
        <v>Boleto-</v>
      </c>
      <c r="L16" s="13"/>
      <c r="M16" s="21" t="e">
        <f t="shared" si="1"/>
        <v>#VALUE!</v>
      </c>
      <c r="N16" s="21" t="e">
        <f t="shared" si="2"/>
        <v>#VALUE!</v>
      </c>
    </row>
    <row r="17" spans="1:14" ht="16.5">
      <c r="A17" s="1" t="str">
        <f>PROCV!C23</f>
        <v>Nome não Cadastrado</v>
      </c>
      <c r="B17" s="23"/>
      <c r="C17" s="19" t="str">
        <f>PROCV!A23</f>
        <v>Nome não Cadastrado</v>
      </c>
      <c r="D17" s="29"/>
      <c r="E17" s="29"/>
      <c r="F17" s="26"/>
      <c r="G17" s="26"/>
      <c r="H17" s="27"/>
      <c r="I17" s="12"/>
      <c r="J17" s="16" t="s">
        <v>9</v>
      </c>
      <c r="K17" s="21" t="str">
        <f t="shared" si="0"/>
        <v>Boleto-</v>
      </c>
      <c r="L17" s="13"/>
      <c r="M17" s="21" t="e">
        <f t="shared" si="1"/>
        <v>#VALUE!</v>
      </c>
      <c r="N17" s="21" t="e">
        <f t="shared" si="2"/>
        <v>#VALUE!</v>
      </c>
    </row>
    <row r="18" spans="1:14" ht="16.5">
      <c r="A18" s="1" t="str">
        <f>PROCV!C24</f>
        <v>Nome não Cadastrado</v>
      </c>
      <c r="B18" s="23"/>
      <c r="C18" s="19" t="str">
        <f>PROCV!A24</f>
        <v>Nome não Cadastrado</v>
      </c>
      <c r="D18" s="29"/>
      <c r="E18" s="29"/>
      <c r="F18" s="26"/>
      <c r="G18" s="26"/>
      <c r="H18" s="27"/>
      <c r="I18" s="12"/>
      <c r="J18" s="16" t="s">
        <v>9</v>
      </c>
      <c r="K18" s="21" t="str">
        <f t="shared" si="0"/>
        <v>Boleto-</v>
      </c>
      <c r="L18" s="12"/>
      <c r="M18" s="21" t="e">
        <f t="shared" si="1"/>
        <v>#VALUE!</v>
      </c>
      <c r="N18" s="21" t="e">
        <f t="shared" si="2"/>
        <v>#VALUE!</v>
      </c>
    </row>
    <row r="19" spans="1:14" ht="16.5">
      <c r="A19" s="1" t="str">
        <f>PROCV!C25</f>
        <v>Nome não Cadastrado</v>
      </c>
      <c r="B19" s="23"/>
      <c r="C19" s="19" t="str">
        <f>PROCV!A25</f>
        <v>Nome não Cadastrado</v>
      </c>
      <c r="D19" s="29"/>
      <c r="E19" s="29"/>
      <c r="F19" s="26"/>
      <c r="G19" s="26"/>
      <c r="H19" s="27"/>
      <c r="I19" s="12"/>
      <c r="J19" s="16" t="s">
        <v>9</v>
      </c>
      <c r="K19" s="21" t="str">
        <f t="shared" si="0"/>
        <v>Boleto-</v>
      </c>
      <c r="L19" s="13"/>
      <c r="M19" s="21" t="e">
        <f t="shared" si="1"/>
        <v>#VALUE!</v>
      </c>
      <c r="N19" s="21" t="e">
        <f t="shared" si="2"/>
        <v>#VALUE!</v>
      </c>
    </row>
    <row r="20" spans="1:14" ht="16.5">
      <c r="A20" s="1" t="str">
        <f>PROCV!C26</f>
        <v>Nome não Cadastrado</v>
      </c>
      <c r="B20" s="23"/>
      <c r="C20" s="19" t="str">
        <f>PROCV!A26</f>
        <v>Nome não Cadastrado</v>
      </c>
      <c r="D20" s="29"/>
      <c r="E20" s="29"/>
      <c r="F20" s="26"/>
      <c r="G20" s="26"/>
      <c r="H20" s="27"/>
      <c r="I20" s="12"/>
      <c r="J20" s="16" t="s">
        <v>9</v>
      </c>
      <c r="K20" s="21" t="str">
        <f t="shared" si="0"/>
        <v>Boleto-</v>
      </c>
      <c r="L20" s="13"/>
      <c r="M20" s="21" t="e">
        <f t="shared" si="1"/>
        <v>#VALUE!</v>
      </c>
      <c r="N20" s="21" t="e">
        <f t="shared" si="2"/>
        <v>#VALUE!</v>
      </c>
    </row>
    <row r="21" spans="1:14" ht="16.5">
      <c r="A21" s="1" t="str">
        <f>PROCV!C27</f>
        <v>Nome não Cadastrado</v>
      </c>
      <c r="B21" s="23"/>
      <c r="C21" s="19" t="str">
        <f>PROCV!A27</f>
        <v>Nome não Cadastrado</v>
      </c>
      <c r="D21" s="29"/>
      <c r="E21" s="29"/>
      <c r="F21" s="26"/>
      <c r="G21" s="26"/>
      <c r="H21" s="27"/>
      <c r="I21" s="12"/>
      <c r="J21" s="16" t="s">
        <v>9</v>
      </c>
      <c r="K21" s="21" t="str">
        <f t="shared" si="0"/>
        <v>Boleto-</v>
      </c>
      <c r="L21" s="13"/>
      <c r="M21" s="21" t="e">
        <f t="shared" si="1"/>
        <v>#VALUE!</v>
      </c>
      <c r="N21" s="21" t="e">
        <f t="shared" si="2"/>
        <v>#VALUE!</v>
      </c>
    </row>
    <row r="22" spans="1:14" ht="16.5">
      <c r="A22" s="1" t="str">
        <f>PROCV!C28</f>
        <v>Nome não Cadastrado</v>
      </c>
      <c r="B22" s="23"/>
      <c r="C22" s="19" t="str">
        <f>PROCV!A28</f>
        <v>Nome não Cadastrado</v>
      </c>
      <c r="D22" s="29"/>
      <c r="E22" s="29"/>
      <c r="F22" s="26"/>
      <c r="G22" s="26"/>
      <c r="H22" s="27"/>
      <c r="I22" s="12"/>
      <c r="J22" s="16" t="s">
        <v>9</v>
      </c>
      <c r="K22" s="21" t="str">
        <f t="shared" si="0"/>
        <v>Boleto-</v>
      </c>
      <c r="L22" s="13"/>
      <c r="M22" s="21" t="e">
        <f t="shared" si="1"/>
        <v>#VALUE!</v>
      </c>
      <c r="N22" s="21" t="e">
        <f t="shared" si="2"/>
        <v>#VALUE!</v>
      </c>
    </row>
    <row r="23" spans="1:14" ht="16.5">
      <c r="A23" s="1" t="str">
        <f>PROCV!C29</f>
        <v>Nome não Cadastrado</v>
      </c>
      <c r="B23" s="23"/>
      <c r="C23" s="19" t="str">
        <f>PROCV!A29</f>
        <v>Nome não Cadastrado</v>
      </c>
      <c r="D23" s="29"/>
      <c r="E23" s="29"/>
      <c r="F23" s="26"/>
      <c r="G23" s="26"/>
      <c r="H23" s="27"/>
      <c r="I23" s="12"/>
      <c r="J23" s="16" t="s">
        <v>9</v>
      </c>
      <c r="K23" s="21" t="str">
        <f t="shared" si="0"/>
        <v>Boleto-</v>
      </c>
      <c r="L23" s="13"/>
      <c r="M23" s="21" t="e">
        <f t="shared" si="1"/>
        <v>#VALUE!</v>
      </c>
      <c r="N23" s="21" t="e">
        <f t="shared" si="2"/>
        <v>#VALUE!</v>
      </c>
    </row>
    <row r="24" spans="1:14" ht="16.5">
      <c r="A24" s="1" t="str">
        <f>PROCV!C30</f>
        <v>Nome não Cadastrado</v>
      </c>
      <c r="B24" s="23"/>
      <c r="C24" s="19" t="str">
        <f>PROCV!A30</f>
        <v>Nome não Cadastrado</v>
      </c>
      <c r="D24" s="29"/>
      <c r="E24" s="29"/>
      <c r="F24" s="26"/>
      <c r="G24" s="26"/>
      <c r="H24" s="27"/>
      <c r="I24" s="12"/>
      <c r="J24" s="16" t="s">
        <v>9</v>
      </c>
      <c r="K24" s="21" t="str">
        <f t="shared" si="0"/>
        <v>Boleto-</v>
      </c>
      <c r="L24" s="13"/>
      <c r="M24" s="21" t="e">
        <f t="shared" si="1"/>
        <v>#VALUE!</v>
      </c>
      <c r="N24" s="21" t="e">
        <f t="shared" si="2"/>
        <v>#VALUE!</v>
      </c>
    </row>
    <row r="25" spans="1:14" ht="16.5">
      <c r="A25" s="1" t="str">
        <f>PROCV!C31</f>
        <v>Nome não Cadastrado</v>
      </c>
      <c r="B25" s="23"/>
      <c r="C25" s="19" t="str">
        <f>PROCV!A31</f>
        <v>Nome não Cadastrado</v>
      </c>
      <c r="D25" s="29"/>
      <c r="E25" s="29"/>
      <c r="F25" s="26"/>
      <c r="G25" s="26"/>
      <c r="H25" s="27"/>
      <c r="I25" s="12"/>
      <c r="J25" s="16" t="s">
        <v>9</v>
      </c>
      <c r="K25" s="21" t="str">
        <f t="shared" si="0"/>
        <v>Boleto-</v>
      </c>
      <c r="L25" s="13"/>
      <c r="M25" s="21" t="e">
        <f t="shared" si="1"/>
        <v>#VALUE!</v>
      </c>
      <c r="N25" s="21" t="e">
        <f t="shared" si="2"/>
        <v>#VALUE!</v>
      </c>
    </row>
    <row r="26" spans="1:14" ht="16.5">
      <c r="A26" s="1" t="str">
        <f>PROCV!C32</f>
        <v>Nome não Cadastrado</v>
      </c>
      <c r="B26" s="24"/>
      <c r="C26" s="19" t="str">
        <f>PROCV!A32</f>
        <v>Nome não Cadastrado</v>
      </c>
      <c r="D26" s="29"/>
      <c r="E26" s="29"/>
      <c r="F26" s="26"/>
      <c r="G26" s="26"/>
      <c r="H26" s="27"/>
      <c r="I26" s="12"/>
      <c r="J26" s="16" t="s">
        <v>9</v>
      </c>
      <c r="K26" s="21" t="str">
        <f t="shared" si="0"/>
        <v>Boleto-</v>
      </c>
      <c r="L26" s="13"/>
      <c r="M26" s="21" t="e">
        <f t="shared" si="1"/>
        <v>#VALUE!</v>
      </c>
      <c r="N26" s="21" t="e">
        <f t="shared" si="2"/>
        <v>#VALUE!</v>
      </c>
    </row>
    <row r="27" spans="1:14" ht="16.5">
      <c r="A27" s="1" t="str">
        <f>PROCV!C33</f>
        <v>Nome não Cadastrado</v>
      </c>
      <c r="B27" s="24"/>
      <c r="C27" s="19" t="str">
        <f>PROCV!A33</f>
        <v>Nome não Cadastrado</v>
      </c>
      <c r="D27" s="29"/>
      <c r="E27" s="29"/>
      <c r="F27" s="26"/>
      <c r="G27" s="26"/>
      <c r="H27" s="27"/>
      <c r="I27" s="12"/>
      <c r="J27" s="16" t="s">
        <v>9</v>
      </c>
      <c r="K27" s="21" t="str">
        <f t="shared" ref="K27:K57" si="4">_xlfn.CONCAT(J27,F27)</f>
        <v>Boleto-</v>
      </c>
      <c r="L27" s="13"/>
      <c r="M27" s="21" t="e">
        <f t="shared" si="1"/>
        <v>#VALUE!</v>
      </c>
      <c r="N27" s="21" t="e">
        <f t="shared" si="2"/>
        <v>#VALUE!</v>
      </c>
    </row>
    <row r="28" spans="1:14" ht="16.5">
      <c r="A28" s="1" t="str">
        <f>PROCV!C34</f>
        <v>Nome não Cadastrado</v>
      </c>
      <c r="B28" s="23"/>
      <c r="C28" s="19" t="str">
        <f>PROCV!A34</f>
        <v>Nome não Cadastrado</v>
      </c>
      <c r="D28" s="29"/>
      <c r="E28" s="29"/>
      <c r="F28" s="26"/>
      <c r="G28" s="26"/>
      <c r="H28" s="27"/>
      <c r="I28" s="12"/>
      <c r="J28" s="16" t="s">
        <v>9</v>
      </c>
      <c r="K28" s="21" t="str">
        <f t="shared" si="4"/>
        <v>Boleto-</v>
      </c>
      <c r="L28" s="13"/>
      <c r="M28" s="21" t="e">
        <f t="shared" si="1"/>
        <v>#VALUE!</v>
      </c>
      <c r="N28" s="21" t="e">
        <f t="shared" si="2"/>
        <v>#VALUE!</v>
      </c>
    </row>
    <row r="29" spans="1:14" ht="16.5">
      <c r="A29" s="1" t="str">
        <f>PROCV!C35</f>
        <v>Nome não Cadastrado</v>
      </c>
      <c r="B29" s="23"/>
      <c r="C29" s="19" t="str">
        <f>PROCV!A35</f>
        <v>Nome não Cadastrado</v>
      </c>
      <c r="D29" s="29"/>
      <c r="E29" s="29"/>
      <c r="F29" s="26"/>
      <c r="G29" s="26"/>
      <c r="H29" s="27"/>
      <c r="I29" s="12"/>
      <c r="J29" s="16" t="s">
        <v>9</v>
      </c>
      <c r="K29" s="21" t="str">
        <f t="shared" si="4"/>
        <v>Boleto-</v>
      </c>
      <c r="L29" s="13"/>
      <c r="M29" s="21" t="e">
        <f t="shared" ref="M29:M47" si="5">RIGHT(L29,LEN(L29)-1)</f>
        <v>#VALUE!</v>
      </c>
      <c r="N29" s="21" t="e">
        <f t="shared" si="2"/>
        <v>#VALUE!</v>
      </c>
    </row>
    <row r="30" spans="1:14" ht="16.5">
      <c r="A30" s="1" t="str">
        <f>PROCV!C36</f>
        <v>Nome não Cadastrado</v>
      </c>
      <c r="B30" s="23"/>
      <c r="C30" s="19" t="str">
        <f>PROCV!A36</f>
        <v>Nome não Cadastrado</v>
      </c>
      <c r="D30" s="29"/>
      <c r="E30" s="29"/>
      <c r="F30" s="26"/>
      <c r="G30" s="26"/>
      <c r="H30" s="27"/>
      <c r="I30" s="12"/>
      <c r="J30" s="16" t="s">
        <v>9</v>
      </c>
      <c r="K30" s="21" t="str">
        <f t="shared" si="4"/>
        <v>Boleto-</v>
      </c>
      <c r="L30" s="13"/>
      <c r="M30" s="21" t="e">
        <f t="shared" si="5"/>
        <v>#VALUE!</v>
      </c>
      <c r="N30" s="21" t="e">
        <f t="shared" si="2"/>
        <v>#VALUE!</v>
      </c>
    </row>
    <row r="31" spans="1:14" ht="16.5">
      <c r="A31" s="1" t="str">
        <f>PROCV!C37</f>
        <v>Nome não Cadastrado</v>
      </c>
      <c r="B31" s="23"/>
      <c r="C31" s="19" t="str">
        <f>PROCV!A37</f>
        <v>Nome não Cadastrado</v>
      </c>
      <c r="D31" s="29"/>
      <c r="E31" s="29"/>
      <c r="F31" s="26"/>
      <c r="G31" s="26"/>
      <c r="H31" s="27"/>
      <c r="I31" s="12"/>
      <c r="J31" s="16" t="s">
        <v>9</v>
      </c>
      <c r="K31" s="21" t="str">
        <f t="shared" si="4"/>
        <v>Boleto-</v>
      </c>
      <c r="L31" s="13"/>
      <c r="M31" s="21" t="e">
        <f t="shared" si="5"/>
        <v>#VALUE!</v>
      </c>
      <c r="N31" s="21" t="e">
        <f t="shared" si="2"/>
        <v>#VALUE!</v>
      </c>
    </row>
    <row r="32" spans="1:14" ht="16.5">
      <c r="A32" s="1" t="str">
        <f>PROCV!C38</f>
        <v>Nome não Cadastrado</v>
      </c>
      <c r="B32" s="24"/>
      <c r="C32" s="19" t="str">
        <f>PROCV!A38</f>
        <v>Nome não Cadastrado</v>
      </c>
      <c r="D32" s="26"/>
      <c r="E32" s="26"/>
      <c r="F32" s="26"/>
      <c r="G32" s="26"/>
      <c r="H32" s="27"/>
      <c r="I32" s="12"/>
      <c r="J32" s="16" t="s">
        <v>9</v>
      </c>
      <c r="K32" s="21" t="str">
        <f t="shared" si="4"/>
        <v>Boleto-</v>
      </c>
      <c r="L32" s="13"/>
      <c r="M32" s="21" t="e">
        <f t="shared" si="5"/>
        <v>#VALUE!</v>
      </c>
      <c r="N32" s="21" t="e">
        <f t="shared" si="2"/>
        <v>#VALUE!</v>
      </c>
    </row>
    <row r="33" spans="1:14" ht="16.5">
      <c r="A33" s="1" t="str">
        <f>PROCV!C39</f>
        <v>Nome não Cadastrado</v>
      </c>
      <c r="B33" s="24"/>
      <c r="C33" s="19" t="str">
        <f>PROCV!A39</f>
        <v>Nome não Cadastrado</v>
      </c>
      <c r="D33" s="26"/>
      <c r="E33" s="26"/>
      <c r="F33" s="26"/>
      <c r="G33" s="26"/>
      <c r="H33" s="27"/>
      <c r="I33" s="12"/>
      <c r="J33" s="16" t="s">
        <v>9</v>
      </c>
      <c r="K33" s="21" t="str">
        <f t="shared" si="4"/>
        <v>Boleto-</v>
      </c>
      <c r="L33" s="13"/>
      <c r="M33" s="21" t="e">
        <f t="shared" si="5"/>
        <v>#VALUE!</v>
      </c>
      <c r="N33" s="21" t="e">
        <f t="shared" si="2"/>
        <v>#VALUE!</v>
      </c>
    </row>
    <row r="34" spans="1:14" ht="16.5">
      <c r="A34" s="1" t="str">
        <f>PROCV!C40</f>
        <v>Nome não Cadastrado</v>
      </c>
      <c r="B34" s="24"/>
      <c r="C34" s="19" t="str">
        <f>PROCV!A40</f>
        <v>Nome não Cadastrado</v>
      </c>
      <c r="D34" s="26"/>
      <c r="E34" s="26"/>
      <c r="F34" s="26"/>
      <c r="G34" s="26"/>
      <c r="H34" s="27"/>
      <c r="I34" s="12"/>
      <c r="J34" s="16" t="s">
        <v>9</v>
      </c>
      <c r="K34" s="21" t="str">
        <f t="shared" si="4"/>
        <v>Boleto-</v>
      </c>
      <c r="L34" s="13"/>
      <c r="M34" s="21" t="e">
        <f t="shared" si="5"/>
        <v>#VALUE!</v>
      </c>
      <c r="N34" s="21" t="e">
        <f t="shared" si="2"/>
        <v>#VALUE!</v>
      </c>
    </row>
    <row r="35" spans="1:14" ht="16.5">
      <c r="A35" s="1" t="str">
        <f>PROCV!C41</f>
        <v>Nome não Cadastrado</v>
      </c>
      <c r="B35" s="24"/>
      <c r="C35" s="19" t="str">
        <f>PROCV!A41</f>
        <v>Nome não Cadastrado</v>
      </c>
      <c r="D35" s="26"/>
      <c r="E35" s="26"/>
      <c r="F35" s="26"/>
      <c r="G35" s="26"/>
      <c r="H35" s="27"/>
      <c r="I35" s="12"/>
      <c r="J35" s="16" t="s">
        <v>9</v>
      </c>
      <c r="K35" s="21" t="str">
        <f t="shared" si="4"/>
        <v>Boleto-</v>
      </c>
      <c r="L35" s="13"/>
      <c r="M35" s="21" t="e">
        <f t="shared" si="5"/>
        <v>#VALUE!</v>
      </c>
      <c r="N35" s="21" t="e">
        <f t="shared" si="2"/>
        <v>#VALUE!</v>
      </c>
    </row>
    <row r="36" spans="1:14" ht="16.5">
      <c r="A36" s="1" t="str">
        <f>PROCV!C42</f>
        <v>Nome não Cadastrado</v>
      </c>
      <c r="B36" s="24"/>
      <c r="C36" s="19" t="str">
        <f>PROCV!A42</f>
        <v>Nome não Cadastrado</v>
      </c>
      <c r="D36" s="26"/>
      <c r="E36" s="26"/>
      <c r="F36" s="26"/>
      <c r="G36" s="26"/>
      <c r="H36" s="27"/>
      <c r="I36" s="12"/>
      <c r="J36" s="16" t="s">
        <v>9</v>
      </c>
      <c r="K36" s="21" t="str">
        <f t="shared" si="4"/>
        <v>Boleto-</v>
      </c>
      <c r="L36" s="13"/>
      <c r="M36" s="21" t="e">
        <f t="shared" si="5"/>
        <v>#VALUE!</v>
      </c>
      <c r="N36" s="21" t="e">
        <f t="shared" si="2"/>
        <v>#VALUE!</v>
      </c>
    </row>
    <row r="37" spans="1:14" ht="16.5">
      <c r="A37" s="1" t="str">
        <f>PROCV!C43</f>
        <v>Nome não Cadastrado</v>
      </c>
      <c r="B37" s="24"/>
      <c r="C37" s="19" t="str">
        <f>PROCV!A43</f>
        <v>Nome não Cadastrado</v>
      </c>
      <c r="D37" s="26"/>
      <c r="E37" s="26"/>
      <c r="F37" s="26"/>
      <c r="G37" s="26"/>
      <c r="H37" s="27"/>
      <c r="I37" s="12"/>
      <c r="J37" s="16" t="s">
        <v>9</v>
      </c>
      <c r="K37" s="21" t="str">
        <f t="shared" si="4"/>
        <v>Boleto-</v>
      </c>
      <c r="L37" s="13"/>
      <c r="M37" s="21" t="e">
        <f t="shared" si="5"/>
        <v>#VALUE!</v>
      </c>
      <c r="N37" s="21" t="e">
        <f t="shared" si="2"/>
        <v>#VALUE!</v>
      </c>
    </row>
    <row r="38" spans="1:14" ht="16.5">
      <c r="A38" s="1" t="str">
        <f>PROCV!C44</f>
        <v>Nome não Cadastrado</v>
      </c>
      <c r="B38" s="24"/>
      <c r="C38" s="19" t="str">
        <f>PROCV!A44</f>
        <v>Nome não Cadastrado</v>
      </c>
      <c r="D38" s="26"/>
      <c r="E38" s="26"/>
      <c r="F38" s="26"/>
      <c r="G38" s="26"/>
      <c r="H38" s="27"/>
      <c r="I38" s="12"/>
      <c r="J38" s="16" t="s">
        <v>9</v>
      </c>
      <c r="K38" s="21" t="str">
        <f t="shared" si="4"/>
        <v>Boleto-</v>
      </c>
      <c r="L38" s="13"/>
      <c r="M38" s="21" t="e">
        <f t="shared" si="5"/>
        <v>#VALUE!</v>
      </c>
      <c r="N38" s="21" t="e">
        <f t="shared" si="2"/>
        <v>#VALUE!</v>
      </c>
    </row>
    <row r="39" spans="1:14" ht="16.5">
      <c r="A39" s="1" t="str">
        <f>PROCV!C45</f>
        <v>Nome não Cadastrado</v>
      </c>
      <c r="B39" s="24"/>
      <c r="C39" s="19" t="str">
        <f>PROCV!A45</f>
        <v>Nome não Cadastrado</v>
      </c>
      <c r="D39" s="26"/>
      <c r="E39" s="26"/>
      <c r="F39" s="26"/>
      <c r="G39" s="26"/>
      <c r="H39" s="27"/>
      <c r="I39" s="12"/>
      <c r="J39" s="16" t="s">
        <v>9</v>
      </c>
      <c r="K39" s="21" t="str">
        <f t="shared" si="4"/>
        <v>Boleto-</v>
      </c>
      <c r="L39" s="13"/>
      <c r="M39" s="21" t="e">
        <f t="shared" si="5"/>
        <v>#VALUE!</v>
      </c>
      <c r="N39" s="21" t="e">
        <f t="shared" si="2"/>
        <v>#VALUE!</v>
      </c>
    </row>
    <row r="40" spans="1:14" ht="16.5">
      <c r="A40" s="1" t="str">
        <f>PROCV!C46</f>
        <v>Nome não Cadastrado</v>
      </c>
      <c r="B40" s="24"/>
      <c r="C40" s="19" t="str">
        <f>PROCV!A46</f>
        <v>Nome não Cadastrado</v>
      </c>
      <c r="D40" s="26"/>
      <c r="E40" s="26"/>
      <c r="F40" s="26"/>
      <c r="G40" s="26"/>
      <c r="H40" s="27"/>
      <c r="I40" s="12"/>
      <c r="J40" s="16" t="s">
        <v>9</v>
      </c>
      <c r="K40" s="21" t="str">
        <f t="shared" si="4"/>
        <v>Boleto-</v>
      </c>
      <c r="L40" s="13"/>
      <c r="M40" s="21" t="e">
        <f t="shared" si="5"/>
        <v>#VALUE!</v>
      </c>
      <c r="N40" s="21" t="e">
        <f t="shared" si="2"/>
        <v>#VALUE!</v>
      </c>
    </row>
    <row r="41" spans="1:14" ht="16.5">
      <c r="A41" s="1" t="str">
        <f>PROCV!C47</f>
        <v>Nome não Cadastrado</v>
      </c>
      <c r="B41" s="24"/>
      <c r="C41" s="19" t="str">
        <f>PROCV!A47</f>
        <v>Nome não Cadastrado</v>
      </c>
      <c r="D41" s="26"/>
      <c r="E41" s="26"/>
      <c r="F41" s="26"/>
      <c r="G41" s="26"/>
      <c r="H41" s="27"/>
      <c r="I41" s="12"/>
      <c r="J41" s="16" t="s">
        <v>9</v>
      </c>
      <c r="K41" s="21" t="str">
        <f t="shared" si="4"/>
        <v>Boleto-</v>
      </c>
      <c r="L41" s="13"/>
      <c r="M41" s="21" t="e">
        <f t="shared" si="5"/>
        <v>#VALUE!</v>
      </c>
      <c r="N41" s="21" t="e">
        <f t="shared" si="2"/>
        <v>#VALUE!</v>
      </c>
    </row>
    <row r="42" spans="1:14" ht="16.5">
      <c r="A42" s="1" t="str">
        <f>PROCV!C48</f>
        <v>Nome não Cadastrado</v>
      </c>
      <c r="B42" s="24"/>
      <c r="C42" s="19" t="str">
        <f>PROCV!A48</f>
        <v>Nome não Cadastrado</v>
      </c>
      <c r="D42" s="26"/>
      <c r="E42" s="26"/>
      <c r="F42" s="26"/>
      <c r="G42" s="26"/>
      <c r="H42" s="27"/>
      <c r="I42" s="12"/>
      <c r="J42" s="16" t="s">
        <v>9</v>
      </c>
      <c r="K42" s="21" t="str">
        <f t="shared" si="4"/>
        <v>Boleto-</v>
      </c>
      <c r="L42" s="13"/>
      <c r="M42" s="21" t="e">
        <f t="shared" si="5"/>
        <v>#VALUE!</v>
      </c>
      <c r="N42" s="21" t="e">
        <f t="shared" si="2"/>
        <v>#VALUE!</v>
      </c>
    </row>
    <row r="43" spans="1:14" ht="16.5">
      <c r="A43" s="1" t="str">
        <f>PROCV!C49</f>
        <v>Nome não Cadastrado</v>
      </c>
      <c r="B43" s="24"/>
      <c r="C43" s="19" t="str">
        <f>PROCV!A49</f>
        <v>Nome não Cadastrado</v>
      </c>
      <c r="D43" s="29"/>
      <c r="E43" s="29"/>
      <c r="F43" s="26"/>
      <c r="G43" s="26"/>
      <c r="H43" s="27"/>
      <c r="I43" s="12"/>
      <c r="J43" s="16" t="s">
        <v>9</v>
      </c>
      <c r="K43" s="21" t="str">
        <f t="shared" si="4"/>
        <v>Boleto-</v>
      </c>
      <c r="L43" s="13"/>
      <c r="M43" s="21" t="e">
        <f t="shared" si="5"/>
        <v>#VALUE!</v>
      </c>
      <c r="N43" s="21" t="e">
        <f t="shared" si="2"/>
        <v>#VALUE!</v>
      </c>
    </row>
    <row r="44" spans="1:14" ht="16.5">
      <c r="A44" s="1" t="str">
        <f>PROCV!C50</f>
        <v>Nome não Cadastrado</v>
      </c>
      <c r="B44" s="24"/>
      <c r="C44" s="19" t="str">
        <f>PROCV!A50</f>
        <v>Nome não Cadastrado</v>
      </c>
      <c r="D44" s="29"/>
      <c r="E44" s="29"/>
      <c r="F44" s="26"/>
      <c r="G44" s="26"/>
      <c r="H44" s="27"/>
      <c r="I44" s="12"/>
      <c r="J44" s="16" t="s">
        <v>9</v>
      </c>
      <c r="K44" s="21" t="str">
        <f t="shared" si="4"/>
        <v>Boleto-</v>
      </c>
      <c r="L44" s="13"/>
      <c r="M44" s="21" t="e">
        <f t="shared" si="5"/>
        <v>#VALUE!</v>
      </c>
      <c r="N44" s="21" t="e">
        <f t="shared" si="2"/>
        <v>#VALUE!</v>
      </c>
    </row>
    <row r="45" spans="1:14" ht="16.5">
      <c r="A45" s="1" t="str">
        <f>PROCV!C51</f>
        <v>Nome não Cadastrado</v>
      </c>
      <c r="B45" s="24"/>
      <c r="C45" s="19" t="str">
        <f>PROCV!A51</f>
        <v>Nome não Cadastrado</v>
      </c>
      <c r="D45" s="29"/>
      <c r="E45" s="29"/>
      <c r="F45" s="26"/>
      <c r="G45" s="26"/>
      <c r="H45" s="27"/>
      <c r="I45" s="12"/>
      <c r="J45" s="16" t="s">
        <v>9</v>
      </c>
      <c r="K45" s="21" t="str">
        <f t="shared" si="4"/>
        <v>Boleto-</v>
      </c>
      <c r="L45" s="13"/>
      <c r="M45" s="21" t="e">
        <f t="shared" si="5"/>
        <v>#VALUE!</v>
      </c>
      <c r="N45" s="21" t="e">
        <f t="shared" si="2"/>
        <v>#VALUE!</v>
      </c>
    </row>
    <row r="46" spans="1:14" ht="16.5">
      <c r="A46" s="1" t="str">
        <f>PROCV!C52</f>
        <v>Nome não Cadastrado</v>
      </c>
      <c r="B46" s="24"/>
      <c r="C46" s="19" t="str">
        <f>PROCV!A52</f>
        <v>Nome não Cadastrado</v>
      </c>
      <c r="D46" s="29"/>
      <c r="E46" s="29"/>
      <c r="F46" s="26"/>
      <c r="G46" s="26"/>
      <c r="H46" s="27"/>
      <c r="I46" s="12"/>
      <c r="J46" s="16" t="s">
        <v>9</v>
      </c>
      <c r="K46" s="21" t="str">
        <f t="shared" si="4"/>
        <v>Boleto-</v>
      </c>
      <c r="L46" s="13"/>
      <c r="M46" s="21" t="e">
        <f t="shared" si="5"/>
        <v>#VALUE!</v>
      </c>
      <c r="N46" s="21" t="e">
        <f t="shared" si="2"/>
        <v>#VALUE!</v>
      </c>
    </row>
    <row r="47" spans="1:14" ht="16.5">
      <c r="A47" s="1" t="str">
        <f>PROCV!C53</f>
        <v>Nome não Cadastrado</v>
      </c>
      <c r="B47" s="24"/>
      <c r="C47" s="19" t="str">
        <f>PROCV!A53</f>
        <v>Nome não Cadastrado</v>
      </c>
      <c r="D47" s="29"/>
      <c r="E47" s="29"/>
      <c r="F47" s="26"/>
      <c r="G47" s="26"/>
      <c r="H47" s="27"/>
      <c r="I47" s="12"/>
      <c r="J47" s="16" t="s">
        <v>9</v>
      </c>
      <c r="K47" s="21" t="str">
        <f t="shared" si="4"/>
        <v>Boleto-</v>
      </c>
      <c r="L47" s="13"/>
      <c r="M47" s="21" t="e">
        <f t="shared" si="5"/>
        <v>#VALUE!</v>
      </c>
      <c r="N47" s="21" t="e">
        <f t="shared" si="2"/>
        <v>#VALUE!</v>
      </c>
    </row>
    <row r="48" spans="1:14" ht="16.5">
      <c r="A48" s="1" t="str">
        <f>PROCV!C54</f>
        <v>Nome não Cadastrado</v>
      </c>
      <c r="B48" s="24"/>
      <c r="C48" s="19" t="str">
        <f>PROCV!A54</f>
        <v>Nome não Cadastrado</v>
      </c>
      <c r="D48" s="29"/>
      <c r="E48" s="29"/>
      <c r="F48" s="26"/>
      <c r="G48" s="26"/>
      <c r="H48" s="27"/>
      <c r="I48" s="12"/>
      <c r="J48" s="16" t="s">
        <v>9</v>
      </c>
      <c r="K48" s="21" t="str">
        <f t="shared" si="4"/>
        <v>Boleto-</v>
      </c>
      <c r="L48" s="13"/>
      <c r="M48" s="21" t="e">
        <f t="shared" ref="M48:M93" si="6">RIGHT(L48,LEN(L48)-1)</f>
        <v>#VALUE!</v>
      </c>
      <c r="N48" s="21" t="e">
        <f t="shared" si="2"/>
        <v>#VALUE!</v>
      </c>
    </row>
    <row r="49" spans="1:14" ht="16.5">
      <c r="A49" s="1" t="str">
        <f>PROCV!C55</f>
        <v>Nome não Cadastrado</v>
      </c>
      <c r="B49" s="24"/>
      <c r="C49" s="19" t="str">
        <f>PROCV!A55</f>
        <v>Nome não Cadastrado</v>
      </c>
      <c r="D49" s="29"/>
      <c r="E49" s="29"/>
      <c r="F49" s="26"/>
      <c r="G49" s="26"/>
      <c r="H49" s="27"/>
      <c r="I49" s="12"/>
      <c r="J49" s="16" t="s">
        <v>9</v>
      </c>
      <c r="K49" s="21" t="str">
        <f t="shared" si="4"/>
        <v>Boleto-</v>
      </c>
      <c r="L49" s="13"/>
      <c r="M49" s="21" t="e">
        <f t="shared" si="6"/>
        <v>#VALUE!</v>
      </c>
      <c r="N49" s="21" t="e">
        <f t="shared" si="2"/>
        <v>#VALUE!</v>
      </c>
    </row>
    <row r="50" spans="1:14" ht="16.5">
      <c r="A50" s="1" t="str">
        <f>PROCV!C56</f>
        <v>Nome não Cadastrado</v>
      </c>
      <c r="B50" s="24"/>
      <c r="C50" s="19" t="str">
        <f>PROCV!A56</f>
        <v>Nome não Cadastrado</v>
      </c>
      <c r="D50" s="29"/>
      <c r="E50" s="29"/>
      <c r="F50" s="26"/>
      <c r="G50" s="26"/>
      <c r="H50" s="27"/>
      <c r="I50" s="12"/>
      <c r="J50" s="16" t="s">
        <v>9</v>
      </c>
      <c r="K50" s="21" t="str">
        <f t="shared" si="4"/>
        <v>Boleto-</v>
      </c>
      <c r="L50" s="13"/>
      <c r="M50" s="21" t="e">
        <f t="shared" si="6"/>
        <v>#VALUE!</v>
      </c>
      <c r="N50" s="21" t="e">
        <f t="shared" si="2"/>
        <v>#VALUE!</v>
      </c>
    </row>
    <row r="51" spans="1:14" ht="16.5">
      <c r="A51" s="1" t="str">
        <f>PROCV!C57</f>
        <v>Nome não Cadastrado</v>
      </c>
      <c r="B51" s="24"/>
      <c r="C51" s="19" t="str">
        <f>PROCV!A57</f>
        <v>Nome não Cadastrado</v>
      </c>
      <c r="D51" s="29"/>
      <c r="E51" s="29"/>
      <c r="F51" s="26"/>
      <c r="G51" s="26"/>
      <c r="H51" s="27"/>
      <c r="I51" s="12"/>
      <c r="J51" s="16" t="s">
        <v>9</v>
      </c>
      <c r="K51" s="21" t="str">
        <f t="shared" si="4"/>
        <v>Boleto-</v>
      </c>
      <c r="L51" s="13"/>
      <c r="M51" s="21" t="e">
        <f t="shared" si="6"/>
        <v>#VALUE!</v>
      </c>
      <c r="N51" s="21" t="e">
        <f t="shared" si="2"/>
        <v>#VALUE!</v>
      </c>
    </row>
    <row r="52" spans="1:14" ht="16.5">
      <c r="A52" s="1" t="str">
        <f>PROCV!C58</f>
        <v>Nome não Cadastrado</v>
      </c>
      <c r="B52" s="24"/>
      <c r="C52" s="19" t="str">
        <f>PROCV!A58</f>
        <v>Nome não Cadastrado</v>
      </c>
      <c r="D52" s="29"/>
      <c r="E52" s="29"/>
      <c r="F52" s="26"/>
      <c r="G52" s="26"/>
      <c r="H52" s="27"/>
      <c r="I52" s="12"/>
      <c r="J52" s="16" t="s">
        <v>9</v>
      </c>
      <c r="K52" s="21" t="str">
        <f t="shared" si="4"/>
        <v>Boleto-</v>
      </c>
      <c r="L52" s="13"/>
      <c r="M52" s="21" t="e">
        <f t="shared" si="6"/>
        <v>#VALUE!</v>
      </c>
      <c r="N52" s="21" t="e">
        <f t="shared" si="2"/>
        <v>#VALUE!</v>
      </c>
    </row>
    <row r="53" spans="1:14" ht="16.5">
      <c r="A53" s="1" t="str">
        <f>PROCV!C59</f>
        <v>Nome não Cadastrado</v>
      </c>
      <c r="B53" s="24"/>
      <c r="C53" s="19" t="str">
        <f>PROCV!A59</f>
        <v>Nome não Cadastrado</v>
      </c>
      <c r="D53" s="29"/>
      <c r="E53" s="29"/>
      <c r="F53" s="26"/>
      <c r="G53" s="26"/>
      <c r="H53" s="27"/>
      <c r="I53" s="12"/>
      <c r="J53" s="16" t="s">
        <v>9</v>
      </c>
      <c r="K53" s="21" t="str">
        <f t="shared" si="4"/>
        <v>Boleto-</v>
      </c>
      <c r="L53" s="13"/>
      <c r="M53" s="21" t="e">
        <f t="shared" si="6"/>
        <v>#VALUE!</v>
      </c>
      <c r="N53" s="21" t="e">
        <f t="shared" si="2"/>
        <v>#VALUE!</v>
      </c>
    </row>
    <row r="54" spans="1:14" ht="16.5">
      <c r="A54" s="1" t="str">
        <f>PROCV!C60</f>
        <v>Nome não Cadastrado</v>
      </c>
      <c r="B54" s="24"/>
      <c r="C54" s="19" t="str">
        <f>PROCV!A60</f>
        <v>Nome não Cadastrado</v>
      </c>
      <c r="D54" s="29"/>
      <c r="E54" s="29"/>
      <c r="F54" s="26"/>
      <c r="G54" s="26"/>
      <c r="H54" s="27"/>
      <c r="I54" s="12"/>
      <c r="J54" s="16" t="s">
        <v>9</v>
      </c>
      <c r="K54" s="21" t="str">
        <f t="shared" si="4"/>
        <v>Boleto-</v>
      </c>
      <c r="L54" s="13"/>
      <c r="M54" s="21" t="e">
        <f t="shared" si="6"/>
        <v>#VALUE!</v>
      </c>
      <c r="N54" s="21" t="e">
        <f t="shared" si="2"/>
        <v>#VALUE!</v>
      </c>
    </row>
    <row r="55" spans="1:14" ht="16.5">
      <c r="A55" s="1" t="str">
        <f>PROCV!C61</f>
        <v>Nome não Cadastrado</v>
      </c>
      <c r="B55" s="24"/>
      <c r="C55" s="19" t="str">
        <f>PROCV!A61</f>
        <v>Nome não Cadastrado</v>
      </c>
      <c r="D55" s="29"/>
      <c r="E55" s="29"/>
      <c r="F55" s="26"/>
      <c r="G55" s="26"/>
      <c r="H55" s="27"/>
      <c r="I55" s="12"/>
      <c r="J55" s="16" t="s">
        <v>9</v>
      </c>
      <c r="K55" s="21" t="str">
        <f t="shared" si="4"/>
        <v>Boleto-</v>
      </c>
      <c r="L55" s="13"/>
      <c r="M55" s="21" t="e">
        <f t="shared" si="6"/>
        <v>#VALUE!</v>
      </c>
      <c r="N55" s="21" t="e">
        <f t="shared" si="2"/>
        <v>#VALUE!</v>
      </c>
    </row>
    <row r="56" spans="1:14" ht="16.5">
      <c r="A56" s="1" t="str">
        <f>PROCV!C62</f>
        <v>Nome não Cadastrado</v>
      </c>
      <c r="B56" s="24"/>
      <c r="C56" s="19" t="str">
        <f>PROCV!A62</f>
        <v>Nome não Cadastrado</v>
      </c>
      <c r="D56" s="29"/>
      <c r="E56" s="29"/>
      <c r="F56" s="26"/>
      <c r="G56" s="26"/>
      <c r="H56" s="27"/>
      <c r="I56" s="12"/>
      <c r="J56" s="16" t="s">
        <v>9</v>
      </c>
      <c r="K56" s="21" t="str">
        <f t="shared" si="4"/>
        <v>Boleto-</v>
      </c>
      <c r="L56" s="13"/>
      <c r="M56" s="21" t="e">
        <f t="shared" si="6"/>
        <v>#VALUE!</v>
      </c>
      <c r="N56" s="21" t="e">
        <f t="shared" si="2"/>
        <v>#VALUE!</v>
      </c>
    </row>
    <row r="57" spans="1:14" ht="16.5">
      <c r="A57" s="1" t="str">
        <f>PROCV!C63</f>
        <v>Nome não Cadastrado</v>
      </c>
      <c r="B57" s="24"/>
      <c r="C57" s="19" t="str">
        <f>PROCV!A63</f>
        <v>Nome não Cadastrado</v>
      </c>
      <c r="D57" s="29"/>
      <c r="E57" s="29"/>
      <c r="F57" s="26"/>
      <c r="G57" s="26"/>
      <c r="H57" s="27"/>
      <c r="I57" s="12"/>
      <c r="J57" s="16" t="s">
        <v>9</v>
      </c>
      <c r="K57" s="21" t="str">
        <f t="shared" si="4"/>
        <v>Boleto-</v>
      </c>
      <c r="L57" s="13"/>
      <c r="M57" s="21" t="e">
        <f t="shared" si="6"/>
        <v>#VALUE!</v>
      </c>
      <c r="N57" s="21" t="e">
        <f t="shared" ref="N57:N121" si="7">LEFT(M57,LEN(M57)-1)</f>
        <v>#VALUE!</v>
      </c>
    </row>
    <row r="58" spans="1:14" ht="16.5">
      <c r="A58" s="1" t="str">
        <f>PROCV!C64</f>
        <v>Nome não Cadastrado</v>
      </c>
      <c r="B58" s="24"/>
      <c r="C58" s="19" t="str">
        <f>PROCV!A64</f>
        <v>Nome não Cadastrado</v>
      </c>
      <c r="D58" s="29"/>
      <c r="E58" s="29"/>
      <c r="F58" s="26"/>
      <c r="G58" s="26"/>
      <c r="H58" s="27"/>
      <c r="I58" s="12"/>
      <c r="J58" s="16" t="s">
        <v>9</v>
      </c>
      <c r="K58" s="21" t="str">
        <f t="shared" ref="K58:K90" si="8">_xlfn.CONCAT(J58,F58)</f>
        <v>Boleto-</v>
      </c>
      <c r="L58" s="13"/>
      <c r="M58" s="21" t="e">
        <f t="shared" si="6"/>
        <v>#VALUE!</v>
      </c>
      <c r="N58" s="21" t="e">
        <f t="shared" si="7"/>
        <v>#VALUE!</v>
      </c>
    </row>
    <row r="59" spans="1:14" ht="16.5">
      <c r="A59" s="1" t="str">
        <f>PROCV!C65</f>
        <v>Nome não Cadastrado</v>
      </c>
      <c r="B59" s="24"/>
      <c r="C59" s="19" t="str">
        <f>PROCV!A65</f>
        <v>Nome não Cadastrado</v>
      </c>
      <c r="D59" s="29"/>
      <c r="E59" s="29"/>
      <c r="F59" s="26"/>
      <c r="G59" s="26"/>
      <c r="H59" s="27"/>
      <c r="I59" s="12"/>
      <c r="J59" s="16" t="s">
        <v>9</v>
      </c>
      <c r="K59" s="21" t="str">
        <f t="shared" si="8"/>
        <v>Boleto-</v>
      </c>
      <c r="L59" s="13"/>
      <c r="M59" s="21" t="e">
        <f t="shared" si="6"/>
        <v>#VALUE!</v>
      </c>
      <c r="N59" s="21" t="e">
        <f t="shared" si="7"/>
        <v>#VALUE!</v>
      </c>
    </row>
    <row r="60" spans="1:14" ht="16.5">
      <c r="A60" s="1" t="str">
        <f>PROCV!C66</f>
        <v>Nome não Cadastrado</v>
      </c>
      <c r="B60" s="24"/>
      <c r="C60" s="19" t="str">
        <f>PROCV!A66</f>
        <v>Nome não Cadastrado</v>
      </c>
      <c r="D60" s="29"/>
      <c r="E60" s="29"/>
      <c r="F60" s="26"/>
      <c r="G60" s="26"/>
      <c r="H60" s="27"/>
      <c r="I60" s="12"/>
      <c r="J60" s="16" t="s">
        <v>9</v>
      </c>
      <c r="K60" s="21" t="str">
        <f t="shared" si="8"/>
        <v>Boleto-</v>
      </c>
      <c r="L60" s="13"/>
      <c r="M60" s="21" t="e">
        <f t="shared" si="6"/>
        <v>#VALUE!</v>
      </c>
      <c r="N60" s="21" t="e">
        <f t="shared" si="7"/>
        <v>#VALUE!</v>
      </c>
    </row>
    <row r="61" spans="1:14" ht="16.5">
      <c r="A61" s="1" t="str">
        <f>PROCV!C67</f>
        <v>Nome não Cadastrado</v>
      </c>
      <c r="B61" s="24"/>
      <c r="C61" s="19" t="str">
        <f>PROCV!A67</f>
        <v>Nome não Cadastrado</v>
      </c>
      <c r="D61" s="29"/>
      <c r="E61" s="29"/>
      <c r="F61" s="26"/>
      <c r="G61" s="26"/>
      <c r="H61" s="27"/>
      <c r="I61" s="12"/>
      <c r="J61" s="16" t="s">
        <v>9</v>
      </c>
      <c r="K61" s="21" t="str">
        <f t="shared" si="8"/>
        <v>Boleto-</v>
      </c>
      <c r="L61" s="13"/>
      <c r="M61" s="21" t="e">
        <f t="shared" si="6"/>
        <v>#VALUE!</v>
      </c>
      <c r="N61" s="21" t="e">
        <f t="shared" si="7"/>
        <v>#VALUE!</v>
      </c>
    </row>
    <row r="62" spans="1:14" ht="16.5">
      <c r="A62" s="1" t="str">
        <f>PROCV!C68</f>
        <v>Nome não Cadastrado</v>
      </c>
      <c r="B62" s="24"/>
      <c r="C62" s="19" t="str">
        <f>PROCV!A68</f>
        <v>Nome não Cadastrado</v>
      </c>
      <c r="D62" s="29"/>
      <c r="E62" s="29"/>
      <c r="F62" s="26"/>
      <c r="G62" s="26"/>
      <c r="H62" s="27"/>
      <c r="I62" s="12"/>
      <c r="J62" s="16" t="s">
        <v>9</v>
      </c>
      <c r="K62" s="21" t="str">
        <f t="shared" si="8"/>
        <v>Boleto-</v>
      </c>
      <c r="L62" s="13"/>
      <c r="M62" s="21" t="e">
        <f t="shared" si="6"/>
        <v>#VALUE!</v>
      </c>
      <c r="N62" s="21" t="e">
        <f t="shared" si="7"/>
        <v>#VALUE!</v>
      </c>
    </row>
    <row r="63" spans="1:14" ht="16.5">
      <c r="A63" s="1" t="str">
        <f>PROCV!C69</f>
        <v>Nome não Cadastrado</v>
      </c>
      <c r="B63" s="24"/>
      <c r="C63" s="19" t="str">
        <f>PROCV!A69</f>
        <v>Nome não Cadastrado</v>
      </c>
      <c r="D63" s="29"/>
      <c r="E63" s="29"/>
      <c r="F63" s="26"/>
      <c r="G63" s="26"/>
      <c r="H63" s="27"/>
      <c r="I63" s="12"/>
      <c r="J63" s="16" t="s">
        <v>9</v>
      </c>
      <c r="K63" s="21" t="str">
        <f t="shared" si="8"/>
        <v>Boleto-</v>
      </c>
      <c r="L63" s="13"/>
      <c r="M63" s="21" t="e">
        <f t="shared" si="6"/>
        <v>#VALUE!</v>
      </c>
      <c r="N63" s="21" t="e">
        <f t="shared" si="7"/>
        <v>#VALUE!</v>
      </c>
    </row>
    <row r="64" spans="1:14" ht="16.5">
      <c r="A64" s="1" t="str">
        <f>PROCV!C70</f>
        <v>Nome não Cadastrado</v>
      </c>
      <c r="B64" s="24"/>
      <c r="C64" s="19" t="str">
        <f>PROCV!A70</f>
        <v>Nome não Cadastrado</v>
      </c>
      <c r="D64" s="29"/>
      <c r="E64" s="29"/>
      <c r="F64" s="26"/>
      <c r="G64" s="26"/>
      <c r="H64" s="27"/>
      <c r="I64" s="12"/>
      <c r="J64" s="16" t="s">
        <v>9</v>
      </c>
      <c r="K64" s="21" t="str">
        <f t="shared" si="8"/>
        <v>Boleto-</v>
      </c>
      <c r="L64" s="13"/>
      <c r="M64" s="21" t="e">
        <f t="shared" si="6"/>
        <v>#VALUE!</v>
      </c>
      <c r="N64" s="21" t="e">
        <f t="shared" si="7"/>
        <v>#VALUE!</v>
      </c>
    </row>
    <row r="65" spans="1:14" ht="16.5">
      <c r="A65" s="1" t="str">
        <f>PROCV!C71</f>
        <v>Nome não Cadastrado</v>
      </c>
      <c r="B65" s="24"/>
      <c r="C65" s="19" t="str">
        <f>PROCV!A71</f>
        <v>Nome não Cadastrado</v>
      </c>
      <c r="D65" s="29"/>
      <c r="E65" s="29"/>
      <c r="F65" s="26"/>
      <c r="G65" s="26"/>
      <c r="H65" s="27"/>
      <c r="I65" s="12"/>
      <c r="J65" s="16" t="s">
        <v>9</v>
      </c>
      <c r="K65" s="21" t="str">
        <f t="shared" si="8"/>
        <v>Boleto-</v>
      </c>
      <c r="L65" s="13"/>
      <c r="M65" s="21" t="e">
        <f t="shared" si="6"/>
        <v>#VALUE!</v>
      </c>
      <c r="N65" s="21" t="e">
        <f t="shared" si="7"/>
        <v>#VALUE!</v>
      </c>
    </row>
    <row r="66" spans="1:14" ht="16.5">
      <c r="A66" s="1" t="str">
        <f>PROCV!C72</f>
        <v>Nome não Cadastrado</v>
      </c>
      <c r="B66" s="24"/>
      <c r="C66" s="19" t="str">
        <f>PROCV!A72</f>
        <v>Nome não Cadastrado</v>
      </c>
      <c r="D66" s="29"/>
      <c r="E66" s="29"/>
      <c r="F66" s="26"/>
      <c r="G66" s="26"/>
      <c r="H66" s="27"/>
      <c r="I66" s="12"/>
      <c r="J66" s="16" t="s">
        <v>9</v>
      </c>
      <c r="K66" s="21" t="str">
        <f t="shared" si="8"/>
        <v>Boleto-</v>
      </c>
      <c r="L66" s="13"/>
      <c r="M66" s="21" t="e">
        <f t="shared" si="6"/>
        <v>#VALUE!</v>
      </c>
      <c r="N66" s="21" t="e">
        <f t="shared" si="7"/>
        <v>#VALUE!</v>
      </c>
    </row>
    <row r="67" spans="1:14" ht="16.5">
      <c r="A67" s="1" t="str">
        <f>PROCV!C73</f>
        <v>Nome não Cadastrado</v>
      </c>
      <c r="B67" s="24"/>
      <c r="C67" s="19" t="str">
        <f>PROCV!A73</f>
        <v>Nome não Cadastrado</v>
      </c>
      <c r="D67" s="29"/>
      <c r="E67" s="29"/>
      <c r="F67" s="26"/>
      <c r="G67" s="26"/>
      <c r="H67" s="27"/>
      <c r="I67" s="12"/>
      <c r="J67" s="16" t="s">
        <v>9</v>
      </c>
      <c r="K67" s="21" t="str">
        <f t="shared" si="8"/>
        <v>Boleto-</v>
      </c>
      <c r="L67" s="13"/>
      <c r="M67" s="21" t="e">
        <f t="shared" si="6"/>
        <v>#VALUE!</v>
      </c>
      <c r="N67" s="21" t="e">
        <f t="shared" si="7"/>
        <v>#VALUE!</v>
      </c>
    </row>
    <row r="68" spans="1:14" ht="16.5">
      <c r="A68" s="1" t="str">
        <f>PROCV!C74</f>
        <v>Nome não Cadastrado</v>
      </c>
      <c r="B68" s="24"/>
      <c r="C68" s="19" t="str">
        <f>PROCV!A74</f>
        <v>Nome não Cadastrado</v>
      </c>
      <c r="D68" s="29"/>
      <c r="E68" s="29"/>
      <c r="F68" s="26"/>
      <c r="G68" s="26"/>
      <c r="H68" s="27"/>
      <c r="I68" s="12"/>
      <c r="J68" s="16" t="s">
        <v>9</v>
      </c>
      <c r="K68" s="21" t="str">
        <f t="shared" si="8"/>
        <v>Boleto-</v>
      </c>
      <c r="L68" s="13"/>
      <c r="M68" s="21" t="e">
        <f t="shared" si="6"/>
        <v>#VALUE!</v>
      </c>
      <c r="N68" s="21" t="e">
        <f t="shared" si="7"/>
        <v>#VALUE!</v>
      </c>
    </row>
    <row r="69" spans="1:14" ht="16.5">
      <c r="A69" s="1" t="str">
        <f>PROCV!C75</f>
        <v>Nome não Cadastrado</v>
      </c>
      <c r="B69" s="23"/>
      <c r="C69" s="19" t="str">
        <f>PROCV!A75</f>
        <v>Nome não Cadastrado</v>
      </c>
      <c r="D69" s="29"/>
      <c r="E69" s="29"/>
      <c r="F69" s="26"/>
      <c r="G69" s="26"/>
      <c r="H69" s="27"/>
      <c r="I69" s="12"/>
      <c r="J69" s="16" t="s">
        <v>9</v>
      </c>
      <c r="K69" s="21" t="str">
        <f t="shared" si="8"/>
        <v>Boleto-</v>
      </c>
      <c r="L69" s="13"/>
      <c r="M69" s="21" t="e">
        <f t="shared" si="6"/>
        <v>#VALUE!</v>
      </c>
      <c r="N69" s="21" t="e">
        <f t="shared" si="7"/>
        <v>#VALUE!</v>
      </c>
    </row>
    <row r="70" spans="1:14" ht="16.5">
      <c r="A70" s="1" t="str">
        <f>PROCV!C76</f>
        <v>Nome não Cadastrado</v>
      </c>
      <c r="B70" s="23"/>
      <c r="C70" s="19" t="str">
        <f>PROCV!A76</f>
        <v>Nome não Cadastrado</v>
      </c>
      <c r="D70" s="29"/>
      <c r="E70" s="29"/>
      <c r="F70" s="26"/>
      <c r="G70" s="26"/>
      <c r="H70" s="27"/>
      <c r="I70" s="12"/>
      <c r="J70" s="16" t="s">
        <v>9</v>
      </c>
      <c r="K70" s="21" t="str">
        <f t="shared" si="8"/>
        <v>Boleto-</v>
      </c>
      <c r="L70" s="13"/>
      <c r="M70" s="21" t="e">
        <f t="shared" si="6"/>
        <v>#VALUE!</v>
      </c>
      <c r="N70" s="21" t="e">
        <f t="shared" si="7"/>
        <v>#VALUE!</v>
      </c>
    </row>
    <row r="71" spans="1:14" ht="16.5">
      <c r="A71" s="1" t="str">
        <f>PROCV!C77</f>
        <v>Nome não Cadastrado</v>
      </c>
      <c r="B71" s="24"/>
      <c r="C71" s="19" t="str">
        <f>PROCV!A77</f>
        <v>Nome não Cadastrado</v>
      </c>
      <c r="D71" s="29"/>
      <c r="E71" s="29"/>
      <c r="F71" s="26"/>
      <c r="G71" s="26"/>
      <c r="H71" s="27"/>
      <c r="I71" s="12"/>
      <c r="J71" s="16" t="s">
        <v>9</v>
      </c>
      <c r="K71" s="21" t="str">
        <f t="shared" si="8"/>
        <v>Boleto-</v>
      </c>
      <c r="L71" s="13"/>
      <c r="M71" s="21" t="e">
        <f t="shared" si="6"/>
        <v>#VALUE!</v>
      </c>
      <c r="N71" s="21" t="e">
        <f t="shared" si="7"/>
        <v>#VALUE!</v>
      </c>
    </row>
    <row r="72" spans="1:14" ht="16.5">
      <c r="A72" s="1" t="str">
        <f>PROCV!C78</f>
        <v>Nome não Cadastrado</v>
      </c>
      <c r="B72" s="23"/>
      <c r="C72" s="19" t="str">
        <f>PROCV!A78</f>
        <v>Nome não Cadastrado</v>
      </c>
      <c r="D72" s="29"/>
      <c r="E72" s="29"/>
      <c r="F72" s="26"/>
      <c r="G72" s="26"/>
      <c r="H72" s="27"/>
      <c r="I72" s="12"/>
      <c r="J72" s="16" t="s">
        <v>9</v>
      </c>
      <c r="K72" s="21" t="str">
        <f t="shared" si="8"/>
        <v>Boleto-</v>
      </c>
      <c r="L72" s="13"/>
      <c r="M72" s="21" t="e">
        <f t="shared" si="6"/>
        <v>#VALUE!</v>
      </c>
      <c r="N72" s="21" t="e">
        <f t="shared" si="7"/>
        <v>#VALUE!</v>
      </c>
    </row>
    <row r="73" spans="1:14" ht="16.5">
      <c r="A73" s="1" t="str">
        <f>PROCV!C79</f>
        <v>Nome não Cadastrado</v>
      </c>
      <c r="B73" s="23"/>
      <c r="C73" s="19" t="str">
        <f>PROCV!A79</f>
        <v>Nome não Cadastrado</v>
      </c>
      <c r="D73" s="29"/>
      <c r="E73" s="29"/>
      <c r="F73" s="26"/>
      <c r="G73" s="26"/>
      <c r="H73" s="27"/>
      <c r="I73" s="12"/>
      <c r="J73" s="16" t="s">
        <v>9</v>
      </c>
      <c r="K73" s="21" t="str">
        <f t="shared" si="8"/>
        <v>Boleto-</v>
      </c>
      <c r="L73" s="13"/>
      <c r="M73" s="21" t="e">
        <f t="shared" si="6"/>
        <v>#VALUE!</v>
      </c>
      <c r="N73" s="21" t="e">
        <f t="shared" si="7"/>
        <v>#VALUE!</v>
      </c>
    </row>
    <row r="74" spans="1:14" ht="16.5">
      <c r="A74" s="1" t="str">
        <f>PROCV!C80</f>
        <v>Nome não Cadastrado</v>
      </c>
      <c r="B74" s="23"/>
      <c r="C74" s="19" t="str">
        <f>PROCV!A80</f>
        <v>Nome não Cadastrado</v>
      </c>
      <c r="D74" s="29"/>
      <c r="E74" s="29"/>
      <c r="F74" s="26"/>
      <c r="G74" s="26"/>
      <c r="H74" s="27"/>
      <c r="I74" s="12"/>
      <c r="J74" s="16" t="s">
        <v>9</v>
      </c>
      <c r="K74" s="21" t="str">
        <f t="shared" si="8"/>
        <v>Boleto-</v>
      </c>
      <c r="L74" s="13"/>
      <c r="M74" s="21" t="e">
        <f t="shared" si="6"/>
        <v>#VALUE!</v>
      </c>
      <c r="N74" s="21" t="e">
        <f t="shared" si="7"/>
        <v>#VALUE!</v>
      </c>
    </row>
    <row r="75" spans="1:14" ht="16.5">
      <c r="A75" s="1" t="str">
        <f>PROCV!C81</f>
        <v>Nome não Cadastrado</v>
      </c>
      <c r="B75" s="23"/>
      <c r="C75" s="19" t="str">
        <f>PROCV!A81</f>
        <v>Nome não Cadastrado</v>
      </c>
      <c r="D75" s="29"/>
      <c r="E75" s="29"/>
      <c r="F75" s="26"/>
      <c r="G75" s="26"/>
      <c r="H75" s="27"/>
      <c r="I75" s="12"/>
      <c r="J75" s="16" t="s">
        <v>9</v>
      </c>
      <c r="K75" s="21" t="str">
        <f t="shared" si="8"/>
        <v>Boleto-</v>
      </c>
      <c r="L75" s="13"/>
      <c r="M75" s="21" t="e">
        <f t="shared" si="6"/>
        <v>#VALUE!</v>
      </c>
      <c r="N75" s="21" t="e">
        <f t="shared" si="7"/>
        <v>#VALUE!</v>
      </c>
    </row>
    <row r="76" spans="1:14" ht="16.5">
      <c r="A76" s="1" t="str">
        <f>PROCV!C82</f>
        <v>Nome não Cadastrado</v>
      </c>
      <c r="B76" s="23"/>
      <c r="C76" s="19" t="str">
        <f>PROCV!A82</f>
        <v>Nome não Cadastrado</v>
      </c>
      <c r="D76" s="29"/>
      <c r="E76" s="29"/>
      <c r="F76" s="26"/>
      <c r="G76" s="26"/>
      <c r="H76" s="27"/>
      <c r="I76" s="12"/>
      <c r="J76" s="16" t="s">
        <v>9</v>
      </c>
      <c r="K76" s="21" t="str">
        <f t="shared" si="8"/>
        <v>Boleto-</v>
      </c>
      <c r="L76" s="13"/>
      <c r="M76" s="21" t="e">
        <f t="shared" si="6"/>
        <v>#VALUE!</v>
      </c>
      <c r="N76" s="21" t="e">
        <f t="shared" si="7"/>
        <v>#VALUE!</v>
      </c>
    </row>
    <row r="77" spans="1:14" ht="16.5">
      <c r="A77" s="1" t="e">
        <f>PROCV!#REF!</f>
        <v>#REF!</v>
      </c>
      <c r="B77" s="23"/>
      <c r="C77" s="19" t="e">
        <f>PROCV!#REF!</f>
        <v>#REF!</v>
      </c>
      <c r="D77" s="25"/>
      <c r="E77" s="25"/>
      <c r="F77" s="26"/>
      <c r="G77" s="23"/>
      <c r="H77" s="27"/>
      <c r="I77" s="28"/>
      <c r="J77" s="16" t="s">
        <v>9</v>
      </c>
      <c r="K77" s="21" t="str">
        <f>_xlfn.CONCAT(J77,F77)</f>
        <v>Boleto-</v>
      </c>
      <c r="L77" s="13"/>
      <c r="M77" s="21" t="e">
        <f>RIGHT(L77,LEN(L77)-1)</f>
        <v>#VALUE!</v>
      </c>
      <c r="N77" s="21" t="e">
        <f>LEFT(M77,LEN(M77)-1)</f>
        <v>#VALUE!</v>
      </c>
    </row>
    <row r="78" spans="1:14" ht="16.5">
      <c r="A78" s="1" t="str">
        <f>PROCV!C83</f>
        <v>Nome não Cadastrado</v>
      </c>
      <c r="B78" s="23"/>
      <c r="C78" s="19" t="str">
        <f>PROCV!A83</f>
        <v>Nome não Cadastrado</v>
      </c>
      <c r="D78" s="29"/>
      <c r="E78" s="29"/>
      <c r="F78" s="26"/>
      <c r="G78" s="26"/>
      <c r="H78" s="27"/>
      <c r="I78" s="12"/>
      <c r="J78" s="16" t="s">
        <v>9</v>
      </c>
      <c r="K78" s="21" t="str">
        <f t="shared" si="8"/>
        <v>Boleto-</v>
      </c>
      <c r="L78" s="13"/>
      <c r="M78" s="21" t="e">
        <f t="shared" si="6"/>
        <v>#VALUE!</v>
      </c>
      <c r="N78" s="21" t="e">
        <f t="shared" si="7"/>
        <v>#VALUE!</v>
      </c>
    </row>
    <row r="79" spans="1:14" ht="16.5">
      <c r="A79" s="1" t="str">
        <f>PROCV!C84</f>
        <v>Nome não Cadastrado</v>
      </c>
      <c r="B79" s="23"/>
      <c r="C79" s="19" t="str">
        <f>PROCV!A84</f>
        <v>Nome não Cadastrado</v>
      </c>
      <c r="D79" s="29"/>
      <c r="E79" s="29"/>
      <c r="F79" s="26"/>
      <c r="G79" s="26"/>
      <c r="H79" s="27"/>
      <c r="I79" s="12"/>
      <c r="J79" s="16" t="s">
        <v>9</v>
      </c>
      <c r="K79" s="21" t="str">
        <f t="shared" si="8"/>
        <v>Boleto-</v>
      </c>
      <c r="L79" s="13"/>
      <c r="M79" s="21" t="e">
        <f t="shared" si="6"/>
        <v>#VALUE!</v>
      </c>
      <c r="N79" s="21" t="e">
        <f t="shared" si="7"/>
        <v>#VALUE!</v>
      </c>
    </row>
    <row r="80" spans="1:14" ht="16.5">
      <c r="A80" s="1" t="str">
        <f>PROCV!C85</f>
        <v>Nome não Cadastrado</v>
      </c>
      <c r="B80" s="23"/>
      <c r="C80" s="19" t="str">
        <f>PROCV!A85</f>
        <v>Nome não Cadastrado</v>
      </c>
      <c r="D80" s="29"/>
      <c r="E80" s="29"/>
      <c r="F80" s="26"/>
      <c r="G80" s="26"/>
      <c r="H80" s="27"/>
      <c r="I80" s="12"/>
      <c r="J80" s="16" t="s">
        <v>9</v>
      </c>
      <c r="K80" s="21" t="str">
        <f t="shared" si="8"/>
        <v>Boleto-</v>
      </c>
      <c r="L80" s="13"/>
      <c r="M80" s="21" t="e">
        <f t="shared" si="6"/>
        <v>#VALUE!</v>
      </c>
      <c r="N80" s="21" t="e">
        <f t="shared" si="7"/>
        <v>#VALUE!</v>
      </c>
    </row>
    <row r="81" spans="1:14" ht="16.5">
      <c r="A81" s="1" t="str">
        <f>PROCV!C86</f>
        <v>Nome não Cadastrado</v>
      </c>
      <c r="B81" s="23"/>
      <c r="C81" s="19" t="str">
        <f>PROCV!A86</f>
        <v>Nome não Cadastrado</v>
      </c>
      <c r="D81" s="29"/>
      <c r="E81" s="29"/>
      <c r="F81" s="26"/>
      <c r="G81" s="26"/>
      <c r="H81" s="27"/>
      <c r="I81" s="12"/>
      <c r="J81" s="16" t="s">
        <v>9</v>
      </c>
      <c r="K81" s="21" t="str">
        <f t="shared" si="8"/>
        <v>Boleto-</v>
      </c>
      <c r="L81" s="13"/>
      <c r="M81" s="21" t="e">
        <f t="shared" si="6"/>
        <v>#VALUE!</v>
      </c>
      <c r="N81" s="21" t="e">
        <f t="shared" si="7"/>
        <v>#VALUE!</v>
      </c>
    </row>
    <row r="82" spans="1:14" ht="16.5">
      <c r="A82" s="1" t="str">
        <f>PROCV!C87</f>
        <v>Nome não Cadastrado</v>
      </c>
      <c r="B82" s="23"/>
      <c r="C82" s="19" t="str">
        <f>PROCV!A87</f>
        <v>Nome não Cadastrado</v>
      </c>
      <c r="D82" s="29"/>
      <c r="E82" s="29"/>
      <c r="F82" s="26"/>
      <c r="G82" s="26"/>
      <c r="H82" s="27"/>
      <c r="I82" s="12"/>
      <c r="J82" s="16" t="s">
        <v>9</v>
      </c>
      <c r="K82" s="21" t="str">
        <f t="shared" si="8"/>
        <v>Boleto-</v>
      </c>
      <c r="L82" s="13"/>
      <c r="M82" s="21" t="e">
        <f t="shared" si="6"/>
        <v>#VALUE!</v>
      </c>
      <c r="N82" s="21" t="e">
        <f t="shared" si="7"/>
        <v>#VALUE!</v>
      </c>
    </row>
    <row r="83" spans="1:14" ht="16.5">
      <c r="A83" s="1" t="str">
        <f>PROCV!C88</f>
        <v>Nome não Cadastrado</v>
      </c>
      <c r="B83" s="23"/>
      <c r="C83" s="19" t="str">
        <f>PROCV!A88</f>
        <v>Nome não Cadastrado</v>
      </c>
      <c r="D83" s="29"/>
      <c r="E83" s="29"/>
      <c r="F83" s="26"/>
      <c r="G83" s="26"/>
      <c r="H83" s="27"/>
      <c r="I83" s="12"/>
      <c r="J83" s="16" t="s">
        <v>9</v>
      </c>
      <c r="K83" s="21" t="str">
        <f t="shared" si="8"/>
        <v>Boleto-</v>
      </c>
      <c r="L83" s="13"/>
      <c r="M83" s="21" t="e">
        <f t="shared" si="6"/>
        <v>#VALUE!</v>
      </c>
      <c r="N83" s="21" t="e">
        <f t="shared" si="7"/>
        <v>#VALUE!</v>
      </c>
    </row>
    <row r="84" spans="1:14" ht="16.5">
      <c r="A84" s="1" t="str">
        <f>PROCV!C89</f>
        <v>Nome não Cadastrado</v>
      </c>
      <c r="B84" s="24"/>
      <c r="C84" s="19" t="str">
        <f>PROCV!A89</f>
        <v>Nome não Cadastrado</v>
      </c>
      <c r="D84" s="29"/>
      <c r="E84" s="29"/>
      <c r="F84" s="26"/>
      <c r="G84" s="26"/>
      <c r="H84" s="27"/>
      <c r="I84" s="12"/>
      <c r="J84" s="16" t="s">
        <v>9</v>
      </c>
      <c r="K84" s="21" t="str">
        <f t="shared" si="8"/>
        <v>Boleto-</v>
      </c>
      <c r="L84" s="13"/>
      <c r="M84" s="21" t="e">
        <f t="shared" si="6"/>
        <v>#VALUE!</v>
      </c>
      <c r="N84" s="21" t="e">
        <f t="shared" si="7"/>
        <v>#VALUE!</v>
      </c>
    </row>
    <row r="85" spans="1:14" ht="16.5">
      <c r="A85" s="1" t="str">
        <f>PROCV!C90</f>
        <v>Nome não Cadastrado</v>
      </c>
      <c r="B85" s="23"/>
      <c r="C85" s="19" t="str">
        <f>PROCV!A90</f>
        <v>Nome não Cadastrado</v>
      </c>
      <c r="D85" s="29"/>
      <c r="E85" s="29"/>
      <c r="F85" s="26"/>
      <c r="G85" s="26"/>
      <c r="H85" s="10"/>
      <c r="I85" s="12"/>
      <c r="J85" s="16" t="s">
        <v>9</v>
      </c>
      <c r="K85" s="21" t="str">
        <f t="shared" si="8"/>
        <v>Boleto-</v>
      </c>
      <c r="L85" s="13"/>
      <c r="M85" s="21" t="e">
        <f t="shared" si="6"/>
        <v>#VALUE!</v>
      </c>
      <c r="N85" s="21" t="e">
        <f t="shared" si="7"/>
        <v>#VALUE!</v>
      </c>
    </row>
    <row r="86" spans="1:14" ht="16.5">
      <c r="A86" s="1" t="str">
        <f>PROCV!C91</f>
        <v>Nome não Cadastrado</v>
      </c>
      <c r="B86" s="23"/>
      <c r="C86" s="19" t="str">
        <f>PROCV!A91</f>
        <v>Nome não Cadastrado</v>
      </c>
      <c r="D86" s="29"/>
      <c r="E86" s="29"/>
      <c r="F86" s="26"/>
      <c r="G86" s="26"/>
      <c r="H86" s="10"/>
      <c r="I86" s="12"/>
      <c r="J86" s="16" t="s">
        <v>9</v>
      </c>
      <c r="K86" s="21" t="str">
        <f t="shared" si="8"/>
        <v>Boleto-</v>
      </c>
      <c r="L86" s="13"/>
      <c r="M86" s="21" t="e">
        <f t="shared" si="6"/>
        <v>#VALUE!</v>
      </c>
      <c r="N86" s="21" t="e">
        <f t="shared" si="7"/>
        <v>#VALUE!</v>
      </c>
    </row>
    <row r="87" spans="1:14" ht="16.5">
      <c r="A87" s="1" t="str">
        <f>PROCV!C92</f>
        <v>Nome não Cadastrado</v>
      </c>
      <c r="B87" s="23"/>
      <c r="C87" s="19" t="str">
        <f>PROCV!A92</f>
        <v>Nome não Cadastrado</v>
      </c>
      <c r="D87" s="29"/>
      <c r="E87" s="29"/>
      <c r="F87" s="26"/>
      <c r="G87" s="26"/>
      <c r="H87" s="10"/>
      <c r="I87" s="12"/>
      <c r="J87" s="16" t="s">
        <v>9</v>
      </c>
      <c r="K87" s="21" t="str">
        <f t="shared" si="8"/>
        <v>Boleto-</v>
      </c>
      <c r="L87" s="13"/>
      <c r="M87" s="21" t="e">
        <f t="shared" si="6"/>
        <v>#VALUE!</v>
      </c>
      <c r="N87" s="21" t="e">
        <f t="shared" si="7"/>
        <v>#VALUE!</v>
      </c>
    </row>
    <row r="88" spans="1:14" ht="16.5">
      <c r="A88" s="1" t="str">
        <f>PROCV!C93</f>
        <v>Nome não Cadastrado</v>
      </c>
      <c r="B88" s="23"/>
      <c r="C88" s="19" t="str">
        <f>PROCV!A93</f>
        <v>Nome não Cadastrado</v>
      </c>
      <c r="D88" s="29"/>
      <c r="E88" s="29"/>
      <c r="F88" s="26"/>
      <c r="G88" s="26"/>
      <c r="H88" s="10"/>
      <c r="I88" s="12"/>
      <c r="J88" s="16" t="s">
        <v>9</v>
      </c>
      <c r="K88" s="21" t="str">
        <f t="shared" si="8"/>
        <v>Boleto-</v>
      </c>
      <c r="L88" s="13"/>
      <c r="M88" s="21" t="e">
        <f t="shared" si="6"/>
        <v>#VALUE!</v>
      </c>
      <c r="N88" s="21" t="e">
        <f t="shared" si="7"/>
        <v>#VALUE!</v>
      </c>
    </row>
    <row r="89" spans="1:14" ht="16.5">
      <c r="A89" s="1" t="str">
        <f>PROCV!C94</f>
        <v>Nome não Cadastrado</v>
      </c>
      <c r="B89" s="23"/>
      <c r="C89" s="19" t="str">
        <f>PROCV!A94</f>
        <v>Nome não Cadastrado</v>
      </c>
      <c r="D89" s="29"/>
      <c r="E89" s="29"/>
      <c r="F89" s="26"/>
      <c r="G89" s="26"/>
      <c r="H89" s="10"/>
      <c r="I89" s="12"/>
      <c r="J89" s="16" t="s">
        <v>9</v>
      </c>
      <c r="K89" s="21" t="str">
        <f t="shared" si="8"/>
        <v>Boleto-</v>
      </c>
      <c r="L89" s="13"/>
      <c r="M89" s="21" t="e">
        <f t="shared" si="6"/>
        <v>#VALUE!</v>
      </c>
      <c r="N89" s="21" t="e">
        <f t="shared" si="7"/>
        <v>#VALUE!</v>
      </c>
    </row>
    <row r="90" spans="1:14" ht="16.5">
      <c r="A90" s="1" t="str">
        <f>PROCV!C95</f>
        <v>Nome não Cadastrado</v>
      </c>
      <c r="B90" s="23"/>
      <c r="C90" s="19" t="str">
        <f>PROCV!A95</f>
        <v>Nome não Cadastrado</v>
      </c>
      <c r="D90" s="29"/>
      <c r="E90" s="29"/>
      <c r="F90" s="26"/>
      <c r="G90" s="26"/>
      <c r="H90" s="10"/>
      <c r="I90" s="12"/>
      <c r="J90" s="16" t="s">
        <v>9</v>
      </c>
      <c r="K90" s="21" t="str">
        <f t="shared" si="8"/>
        <v>Boleto-</v>
      </c>
      <c r="L90" s="13"/>
      <c r="M90" s="21" t="e">
        <f t="shared" si="6"/>
        <v>#VALUE!</v>
      </c>
      <c r="N90" s="21" t="e">
        <f t="shared" si="7"/>
        <v>#VALUE!</v>
      </c>
    </row>
    <row r="91" spans="1:14" ht="16.5">
      <c r="A91" s="1" t="str">
        <f>PROCV!C96</f>
        <v>Nome não Cadastrado</v>
      </c>
      <c r="B91" s="23"/>
      <c r="C91" s="19" t="str">
        <f>PROCV!A96</f>
        <v>Nome não Cadastrado</v>
      </c>
      <c r="D91" s="29"/>
      <c r="E91" s="29"/>
      <c r="F91" s="26"/>
      <c r="G91" s="26"/>
      <c r="H91" s="10"/>
      <c r="I91" s="12"/>
      <c r="J91" s="16" t="s">
        <v>9</v>
      </c>
      <c r="K91" s="21" t="str">
        <f t="shared" ref="K91:K122" si="9">_xlfn.CONCAT(J91,F91)</f>
        <v>Boleto-</v>
      </c>
      <c r="L91" s="13"/>
      <c r="M91" s="21" t="e">
        <f t="shared" si="6"/>
        <v>#VALUE!</v>
      </c>
      <c r="N91" s="21" t="e">
        <f t="shared" si="7"/>
        <v>#VALUE!</v>
      </c>
    </row>
    <row r="92" spans="1:14" ht="16.5">
      <c r="A92" s="1" t="str">
        <f>PROCV!C97</f>
        <v>Nome não Cadastrado</v>
      </c>
      <c r="B92" s="23"/>
      <c r="C92" s="19" t="str">
        <f>PROCV!A97</f>
        <v>Nome não Cadastrado</v>
      </c>
      <c r="D92" s="29"/>
      <c r="E92" s="29"/>
      <c r="F92" s="26"/>
      <c r="G92" s="26"/>
      <c r="H92" s="10"/>
      <c r="I92" s="12"/>
      <c r="J92" s="16" t="s">
        <v>9</v>
      </c>
      <c r="K92" s="21" t="str">
        <f t="shared" si="9"/>
        <v>Boleto-</v>
      </c>
      <c r="L92" s="13"/>
      <c r="M92" s="21" t="e">
        <f t="shared" si="6"/>
        <v>#VALUE!</v>
      </c>
      <c r="N92" s="21" t="e">
        <f t="shared" si="7"/>
        <v>#VALUE!</v>
      </c>
    </row>
    <row r="93" spans="1:14" ht="16.5">
      <c r="A93" s="1" t="str">
        <f>PROCV!C98</f>
        <v>Nome não Cadastrado</v>
      </c>
      <c r="B93" s="23"/>
      <c r="C93" s="19" t="str">
        <f>PROCV!A98</f>
        <v>Nome não Cadastrado</v>
      </c>
      <c r="D93" s="29"/>
      <c r="E93" s="29"/>
      <c r="F93" s="26"/>
      <c r="G93" s="26"/>
      <c r="H93" s="10"/>
      <c r="I93" s="12"/>
      <c r="J93" s="16" t="s">
        <v>9</v>
      </c>
      <c r="K93" s="21" t="str">
        <f t="shared" si="9"/>
        <v>Boleto-</v>
      </c>
      <c r="L93" s="13"/>
      <c r="M93" s="21" t="e">
        <f t="shared" si="6"/>
        <v>#VALUE!</v>
      </c>
      <c r="N93" s="21" t="e">
        <f t="shared" si="7"/>
        <v>#VALUE!</v>
      </c>
    </row>
    <row r="94" spans="1:14" ht="16.5">
      <c r="A94" s="1" t="str">
        <f>PROCV!C99</f>
        <v>Nome não Cadastrado</v>
      </c>
      <c r="B94" s="23"/>
      <c r="C94" s="19" t="str">
        <f>PROCV!A99</f>
        <v>Nome não Cadastrado</v>
      </c>
      <c r="D94" s="29"/>
      <c r="E94" s="29"/>
      <c r="F94" s="26"/>
      <c r="G94" s="26"/>
      <c r="H94" s="10"/>
      <c r="I94" s="12"/>
      <c r="J94" s="16" t="s">
        <v>9</v>
      </c>
      <c r="K94" s="21" t="str">
        <f t="shared" si="9"/>
        <v>Boleto-</v>
      </c>
      <c r="L94" s="12"/>
      <c r="M94" s="21" t="e">
        <f t="shared" ref="M94:M100" si="10">RIGHT(L94,LEN(L94)-1)</f>
        <v>#VALUE!</v>
      </c>
      <c r="N94" s="21" t="e">
        <f t="shared" si="7"/>
        <v>#VALUE!</v>
      </c>
    </row>
    <row r="95" spans="1:14" ht="16.5">
      <c r="A95" s="1" t="str">
        <f>PROCV!C100</f>
        <v>Nome não Cadastrado</v>
      </c>
      <c r="B95" s="23"/>
      <c r="C95" s="19" t="str">
        <f>PROCV!A100</f>
        <v>Nome não Cadastrado</v>
      </c>
      <c r="D95" s="29"/>
      <c r="E95" s="29"/>
      <c r="F95" s="26"/>
      <c r="G95" s="26"/>
      <c r="H95" s="10"/>
      <c r="I95" s="12"/>
      <c r="J95" s="16" t="s">
        <v>9</v>
      </c>
      <c r="K95" s="21" t="str">
        <f t="shared" si="9"/>
        <v>Boleto-</v>
      </c>
      <c r="L95" s="13"/>
      <c r="M95" s="21" t="e">
        <f t="shared" si="10"/>
        <v>#VALUE!</v>
      </c>
      <c r="N95" s="21" t="e">
        <f t="shared" si="7"/>
        <v>#VALUE!</v>
      </c>
    </row>
    <row r="96" spans="1:14" ht="16.5">
      <c r="A96" s="1" t="str">
        <f>PROCV!C101</f>
        <v>Nome não Cadastrado</v>
      </c>
      <c r="B96" s="23"/>
      <c r="C96" s="19" t="str">
        <f>PROCV!A101</f>
        <v>Nome não Cadastrado</v>
      </c>
      <c r="D96" s="29"/>
      <c r="E96" s="29"/>
      <c r="F96" s="26"/>
      <c r="G96" s="26"/>
      <c r="H96" s="10"/>
      <c r="I96" s="12"/>
      <c r="J96" s="16" t="s">
        <v>9</v>
      </c>
      <c r="K96" s="21" t="str">
        <f t="shared" si="9"/>
        <v>Boleto-</v>
      </c>
      <c r="L96" s="13"/>
      <c r="M96" s="21" t="e">
        <f t="shared" si="10"/>
        <v>#VALUE!</v>
      </c>
      <c r="N96" s="21" t="e">
        <f t="shared" si="7"/>
        <v>#VALUE!</v>
      </c>
    </row>
    <row r="97" spans="1:14" ht="16.5">
      <c r="A97" s="1" t="str">
        <f>PROCV!C102</f>
        <v>Nome não Cadastrado</v>
      </c>
      <c r="B97" s="23"/>
      <c r="C97" s="19" t="str">
        <f>PROCV!A102</f>
        <v>Nome não Cadastrado</v>
      </c>
      <c r="D97" s="29"/>
      <c r="E97" s="29"/>
      <c r="F97" s="26"/>
      <c r="G97" s="26"/>
      <c r="H97" s="10"/>
      <c r="I97" s="12"/>
      <c r="J97" s="16" t="s">
        <v>9</v>
      </c>
      <c r="K97" s="21" t="str">
        <f t="shared" si="9"/>
        <v>Boleto-</v>
      </c>
      <c r="L97" s="13"/>
      <c r="M97" s="21" t="e">
        <f t="shared" si="10"/>
        <v>#VALUE!</v>
      </c>
      <c r="N97" s="21" t="e">
        <f t="shared" si="7"/>
        <v>#VALUE!</v>
      </c>
    </row>
    <row r="98" spans="1:14" ht="16.5">
      <c r="A98" s="1" t="str">
        <f>PROCV!C103</f>
        <v>Nome não Cadastrado</v>
      </c>
      <c r="B98" s="23"/>
      <c r="C98" s="19" t="str">
        <f>PROCV!A103</f>
        <v>Nome não Cadastrado</v>
      </c>
      <c r="D98" s="29"/>
      <c r="E98" s="29"/>
      <c r="F98" s="26"/>
      <c r="G98" s="26"/>
      <c r="H98" s="10"/>
      <c r="I98" s="12"/>
      <c r="J98" s="16" t="s">
        <v>9</v>
      </c>
      <c r="K98" s="21" t="str">
        <f t="shared" si="9"/>
        <v>Boleto-</v>
      </c>
      <c r="L98" s="13"/>
      <c r="M98" s="21" t="e">
        <f t="shared" si="10"/>
        <v>#VALUE!</v>
      </c>
      <c r="N98" s="21" t="e">
        <f t="shared" si="7"/>
        <v>#VALUE!</v>
      </c>
    </row>
    <row r="99" spans="1:14" ht="16.5">
      <c r="A99" s="1" t="str">
        <f>PROCV!C104</f>
        <v>Nome não Cadastrado</v>
      </c>
      <c r="B99" s="23"/>
      <c r="C99" s="19" t="str">
        <f>PROCV!A104</f>
        <v>Nome não Cadastrado</v>
      </c>
      <c r="D99" s="29"/>
      <c r="E99" s="29"/>
      <c r="F99" s="26"/>
      <c r="G99" s="26"/>
      <c r="H99" s="10"/>
      <c r="I99" s="12"/>
      <c r="J99" s="16" t="s">
        <v>9</v>
      </c>
      <c r="K99" s="21" t="str">
        <f t="shared" si="9"/>
        <v>Boleto-</v>
      </c>
      <c r="L99" s="13"/>
      <c r="M99" s="21" t="e">
        <f t="shared" si="10"/>
        <v>#VALUE!</v>
      </c>
      <c r="N99" s="21" t="e">
        <f t="shared" si="7"/>
        <v>#VALUE!</v>
      </c>
    </row>
    <row r="100" spans="1:14" ht="16.5">
      <c r="A100" s="1" t="str">
        <f>PROCV!C105</f>
        <v>Nome não Cadastrado</v>
      </c>
      <c r="B100" s="23"/>
      <c r="C100" s="19" t="str">
        <f>PROCV!A105</f>
        <v>Nome não Cadastrado</v>
      </c>
      <c r="D100" s="29"/>
      <c r="E100" s="29"/>
      <c r="F100" s="26"/>
      <c r="G100" s="26"/>
      <c r="H100" s="10"/>
      <c r="I100" s="12"/>
      <c r="J100" s="16" t="s">
        <v>9</v>
      </c>
      <c r="K100" s="21" t="str">
        <f t="shared" si="9"/>
        <v>Boleto-</v>
      </c>
      <c r="L100" s="13"/>
      <c r="M100" s="21" t="e">
        <f t="shared" si="10"/>
        <v>#VALUE!</v>
      </c>
      <c r="N100" s="21" t="e">
        <f t="shared" si="7"/>
        <v>#VALUE!</v>
      </c>
    </row>
    <row r="101" spans="1:14" ht="16.5">
      <c r="A101" s="1" t="str">
        <f>PROCV!C106</f>
        <v>Nome não Cadastrado</v>
      </c>
      <c r="B101" s="23"/>
      <c r="C101" s="19" t="str">
        <f>PROCV!A106</f>
        <v>Nome não Cadastrado</v>
      </c>
      <c r="D101" s="29"/>
      <c r="E101" s="29"/>
      <c r="F101" s="26"/>
      <c r="G101" s="26"/>
      <c r="H101" s="10"/>
      <c r="I101" s="12"/>
      <c r="J101" s="16" t="s">
        <v>9</v>
      </c>
      <c r="K101" s="21" t="str">
        <f t="shared" si="9"/>
        <v>Boleto-</v>
      </c>
      <c r="L101" s="13"/>
      <c r="M101" s="21" t="e">
        <f t="shared" ref="M101:M122" si="11">RIGHT(L101,LEN(L101)-1)</f>
        <v>#VALUE!</v>
      </c>
      <c r="N101" s="21" t="e">
        <f t="shared" si="7"/>
        <v>#VALUE!</v>
      </c>
    </row>
    <row r="102" spans="1:14" ht="16.5">
      <c r="A102" s="1" t="str">
        <f>PROCV!C107</f>
        <v>Nome não Cadastrado</v>
      </c>
      <c r="B102" s="23"/>
      <c r="C102" s="19" t="str">
        <f>PROCV!A107</f>
        <v>Nome não Cadastrado</v>
      </c>
      <c r="D102" s="29"/>
      <c r="E102" s="29"/>
      <c r="F102" s="26"/>
      <c r="G102" s="26"/>
      <c r="H102" s="10"/>
      <c r="I102" s="12"/>
      <c r="J102" s="16" t="s">
        <v>9</v>
      </c>
      <c r="K102" s="21" t="str">
        <f t="shared" si="9"/>
        <v>Boleto-</v>
      </c>
      <c r="L102" s="13"/>
      <c r="M102" s="21" t="e">
        <f t="shared" si="11"/>
        <v>#VALUE!</v>
      </c>
      <c r="N102" s="21" t="e">
        <f t="shared" si="7"/>
        <v>#VALUE!</v>
      </c>
    </row>
    <row r="103" spans="1:14" ht="16.5">
      <c r="A103" s="1" t="str">
        <f>PROCV!C108</f>
        <v>Nome não Cadastrado</v>
      </c>
      <c r="B103" s="23"/>
      <c r="C103" s="19" t="str">
        <f>PROCV!A108</f>
        <v>Nome não Cadastrado</v>
      </c>
      <c r="D103" s="29"/>
      <c r="E103" s="29"/>
      <c r="F103" s="26"/>
      <c r="G103" s="26"/>
      <c r="H103" s="10"/>
      <c r="I103" s="12"/>
      <c r="J103" s="16" t="s">
        <v>9</v>
      </c>
      <c r="K103" s="21" t="str">
        <f t="shared" si="9"/>
        <v>Boleto-</v>
      </c>
      <c r="L103" s="13"/>
      <c r="M103" s="21" t="e">
        <f t="shared" si="11"/>
        <v>#VALUE!</v>
      </c>
      <c r="N103" s="21" t="e">
        <f t="shared" si="7"/>
        <v>#VALUE!</v>
      </c>
    </row>
    <row r="104" spans="1:14" ht="16.5">
      <c r="A104" s="1" t="str">
        <f>PROCV!C109</f>
        <v>Nome não Cadastrado</v>
      </c>
      <c r="B104" s="23"/>
      <c r="C104" s="19" t="str">
        <f>PROCV!A109</f>
        <v>Nome não Cadastrado</v>
      </c>
      <c r="D104" s="29"/>
      <c r="E104" s="29"/>
      <c r="F104" s="26"/>
      <c r="G104" s="26"/>
      <c r="H104" s="10"/>
      <c r="I104" s="12"/>
      <c r="J104" s="16" t="s">
        <v>9</v>
      </c>
      <c r="K104" s="21" t="str">
        <f t="shared" si="9"/>
        <v>Boleto-</v>
      </c>
      <c r="L104" s="13"/>
      <c r="M104" s="21" t="e">
        <f t="shared" si="11"/>
        <v>#VALUE!</v>
      </c>
      <c r="N104" s="21" t="e">
        <f t="shared" si="7"/>
        <v>#VALUE!</v>
      </c>
    </row>
    <row r="105" spans="1:14" ht="16.5">
      <c r="A105" s="1" t="str">
        <f>PROCV!C110</f>
        <v>Nome não Cadastrado</v>
      </c>
      <c r="B105" s="23"/>
      <c r="C105" s="19" t="str">
        <f>PROCV!A110</f>
        <v>Nome não Cadastrado</v>
      </c>
      <c r="D105" s="29"/>
      <c r="E105" s="29"/>
      <c r="F105" s="26"/>
      <c r="G105" s="26"/>
      <c r="H105" s="10"/>
      <c r="I105" s="12"/>
      <c r="J105" s="16" t="s">
        <v>9</v>
      </c>
      <c r="K105" s="21" t="str">
        <f t="shared" si="9"/>
        <v>Boleto-</v>
      </c>
      <c r="L105" s="13"/>
      <c r="M105" s="21" t="e">
        <f t="shared" si="11"/>
        <v>#VALUE!</v>
      </c>
      <c r="N105" s="21" t="e">
        <f t="shared" si="7"/>
        <v>#VALUE!</v>
      </c>
    </row>
    <row r="106" spans="1:14" ht="16.5">
      <c r="A106" s="1" t="str">
        <f>PROCV!C111</f>
        <v>Nome não Cadastrado</v>
      </c>
      <c r="B106" s="23"/>
      <c r="C106" s="19" t="str">
        <f>PROCV!A111</f>
        <v>Nome não Cadastrado</v>
      </c>
      <c r="D106" s="29"/>
      <c r="E106" s="29"/>
      <c r="F106" s="26"/>
      <c r="G106" s="26"/>
      <c r="H106" s="10"/>
      <c r="I106" s="12"/>
      <c r="J106" s="16" t="s">
        <v>9</v>
      </c>
      <c r="K106" s="21" t="str">
        <f t="shared" si="9"/>
        <v>Boleto-</v>
      </c>
      <c r="L106" s="13"/>
      <c r="M106" s="21" t="e">
        <f t="shared" si="11"/>
        <v>#VALUE!</v>
      </c>
      <c r="N106" s="21" t="e">
        <f t="shared" si="7"/>
        <v>#VALUE!</v>
      </c>
    </row>
    <row r="107" spans="1:14" ht="16.5">
      <c r="A107" s="1" t="str">
        <f>PROCV!C112</f>
        <v>Nome não Cadastrado</v>
      </c>
      <c r="B107" s="23"/>
      <c r="C107" s="19" t="str">
        <f>PROCV!A112</f>
        <v>Nome não Cadastrado</v>
      </c>
      <c r="D107" s="29"/>
      <c r="E107" s="29"/>
      <c r="F107" s="26"/>
      <c r="G107" s="26"/>
      <c r="H107" s="10"/>
      <c r="I107" s="12"/>
      <c r="J107" s="16" t="s">
        <v>9</v>
      </c>
      <c r="K107" s="21" t="str">
        <f t="shared" si="9"/>
        <v>Boleto-</v>
      </c>
      <c r="L107" s="13"/>
      <c r="M107" s="21" t="e">
        <f t="shared" si="11"/>
        <v>#VALUE!</v>
      </c>
      <c r="N107" s="21" t="e">
        <f t="shared" si="7"/>
        <v>#VALUE!</v>
      </c>
    </row>
    <row r="108" spans="1:14" ht="16.5">
      <c r="A108" s="1" t="str">
        <f>PROCV!C113</f>
        <v>Nome não Cadastrado</v>
      </c>
      <c r="B108" s="23"/>
      <c r="C108" s="19" t="str">
        <f>PROCV!A113</f>
        <v>Nome não Cadastrado</v>
      </c>
      <c r="D108" s="29"/>
      <c r="E108" s="29"/>
      <c r="F108" s="26"/>
      <c r="G108" s="26"/>
      <c r="H108" s="10"/>
      <c r="I108" s="12"/>
      <c r="J108" s="16" t="s">
        <v>9</v>
      </c>
      <c r="K108" s="21" t="str">
        <f t="shared" si="9"/>
        <v>Boleto-</v>
      </c>
      <c r="L108" s="13"/>
      <c r="M108" s="21" t="e">
        <f t="shared" si="11"/>
        <v>#VALUE!</v>
      </c>
      <c r="N108" s="21" t="e">
        <f t="shared" si="7"/>
        <v>#VALUE!</v>
      </c>
    </row>
    <row r="109" spans="1:14" ht="16.5">
      <c r="A109" s="1" t="str">
        <f>PROCV!C114</f>
        <v>Nome não Cadastrado</v>
      </c>
      <c r="B109" s="23"/>
      <c r="C109" s="19" t="str">
        <f>PROCV!A114</f>
        <v>Nome não Cadastrado</v>
      </c>
      <c r="D109" s="29"/>
      <c r="E109" s="29"/>
      <c r="F109" s="26"/>
      <c r="G109" s="26"/>
      <c r="H109" s="10"/>
      <c r="I109" s="12"/>
      <c r="J109" s="16" t="s">
        <v>9</v>
      </c>
      <c r="K109" s="21" t="str">
        <f t="shared" si="9"/>
        <v>Boleto-</v>
      </c>
      <c r="L109" s="13"/>
      <c r="M109" s="21" t="e">
        <f t="shared" si="11"/>
        <v>#VALUE!</v>
      </c>
      <c r="N109" s="21" t="e">
        <f t="shared" si="7"/>
        <v>#VALUE!</v>
      </c>
    </row>
    <row r="110" spans="1:14" ht="16.5">
      <c r="A110" s="1" t="str">
        <f>PROCV!C115</f>
        <v>Nome não Cadastrado</v>
      </c>
      <c r="B110" s="23"/>
      <c r="C110" s="19" t="str">
        <f>PROCV!A115</f>
        <v>Nome não Cadastrado</v>
      </c>
      <c r="D110" s="29"/>
      <c r="E110" s="29"/>
      <c r="F110" s="26"/>
      <c r="G110" s="26"/>
      <c r="H110" s="10"/>
      <c r="I110" s="12"/>
      <c r="J110" s="16" t="s">
        <v>9</v>
      </c>
      <c r="K110" s="21" t="str">
        <f t="shared" si="9"/>
        <v>Boleto-</v>
      </c>
      <c r="L110" s="13"/>
      <c r="M110" s="21" t="e">
        <f t="shared" si="11"/>
        <v>#VALUE!</v>
      </c>
      <c r="N110" s="21" t="e">
        <f t="shared" si="7"/>
        <v>#VALUE!</v>
      </c>
    </row>
    <row r="111" spans="1:14" ht="16.5">
      <c r="A111" s="1" t="str">
        <f>PROCV!C116</f>
        <v>Nome não Cadastrado</v>
      </c>
      <c r="B111" s="23"/>
      <c r="C111" s="19" t="str">
        <f>PROCV!A116</f>
        <v>Nome não Cadastrado</v>
      </c>
      <c r="D111" s="29"/>
      <c r="E111" s="29"/>
      <c r="F111" s="26"/>
      <c r="G111" s="26"/>
      <c r="H111" s="10"/>
      <c r="I111" s="12"/>
      <c r="J111" s="16" t="s">
        <v>9</v>
      </c>
      <c r="K111" s="21" t="str">
        <f t="shared" si="9"/>
        <v>Boleto-</v>
      </c>
      <c r="L111" s="13"/>
      <c r="M111" s="21" t="e">
        <f t="shared" si="11"/>
        <v>#VALUE!</v>
      </c>
      <c r="N111" s="21" t="e">
        <f t="shared" si="7"/>
        <v>#VALUE!</v>
      </c>
    </row>
    <row r="112" spans="1:14" ht="16.5">
      <c r="A112" s="1" t="str">
        <f>PROCV!C117</f>
        <v>Nome não Cadastrado</v>
      </c>
      <c r="B112" s="23"/>
      <c r="C112" s="19" t="str">
        <f>PROCV!A117</f>
        <v>Nome não Cadastrado</v>
      </c>
      <c r="D112" s="29"/>
      <c r="E112" s="29"/>
      <c r="F112" s="26"/>
      <c r="G112" s="26"/>
      <c r="H112" s="10"/>
      <c r="I112" s="12"/>
      <c r="J112" s="16" t="s">
        <v>9</v>
      </c>
      <c r="K112" s="21" t="str">
        <f t="shared" si="9"/>
        <v>Boleto-</v>
      </c>
      <c r="L112" s="13"/>
      <c r="M112" s="21" t="e">
        <f t="shared" si="11"/>
        <v>#VALUE!</v>
      </c>
      <c r="N112" s="21" t="e">
        <f t="shared" si="7"/>
        <v>#VALUE!</v>
      </c>
    </row>
    <row r="113" spans="1:14" ht="16.5">
      <c r="A113" s="1" t="str">
        <f>PROCV!C118</f>
        <v>Nome não Cadastrado</v>
      </c>
      <c r="B113" s="23"/>
      <c r="C113" s="19" t="str">
        <f>PROCV!A118</f>
        <v>Nome não Cadastrado</v>
      </c>
      <c r="D113" s="29"/>
      <c r="E113" s="29"/>
      <c r="F113" s="26"/>
      <c r="G113" s="26"/>
      <c r="H113" s="10"/>
      <c r="I113" s="12"/>
      <c r="J113" s="16" t="s">
        <v>9</v>
      </c>
      <c r="K113" s="21" t="str">
        <f t="shared" si="9"/>
        <v>Boleto-</v>
      </c>
      <c r="L113" s="13"/>
      <c r="M113" s="21" t="e">
        <f t="shared" si="11"/>
        <v>#VALUE!</v>
      </c>
      <c r="N113" s="21" t="e">
        <f t="shared" si="7"/>
        <v>#VALUE!</v>
      </c>
    </row>
    <row r="114" spans="1:14" ht="16.5">
      <c r="A114" s="1" t="str">
        <f>PROCV!C119</f>
        <v>Nome não Cadastrado</v>
      </c>
      <c r="B114" s="23"/>
      <c r="C114" s="19" t="str">
        <f>PROCV!A119</f>
        <v>Nome não Cadastrado</v>
      </c>
      <c r="D114" s="29"/>
      <c r="E114" s="29"/>
      <c r="F114" s="26"/>
      <c r="G114" s="26"/>
      <c r="H114" s="10"/>
      <c r="I114" s="12"/>
      <c r="J114" s="16" t="s">
        <v>9</v>
      </c>
      <c r="K114" s="21" t="str">
        <f t="shared" si="9"/>
        <v>Boleto-</v>
      </c>
      <c r="L114" s="13"/>
      <c r="M114" s="21" t="e">
        <f t="shared" si="11"/>
        <v>#VALUE!</v>
      </c>
      <c r="N114" s="21" t="e">
        <f t="shared" si="7"/>
        <v>#VALUE!</v>
      </c>
    </row>
    <row r="115" spans="1:14" ht="16.5">
      <c r="A115" s="1" t="str">
        <f>PROCV!C120</f>
        <v>Nome não Cadastrado</v>
      </c>
      <c r="B115" s="23"/>
      <c r="C115" s="19" t="str">
        <f>PROCV!A120</f>
        <v>Nome não Cadastrado</v>
      </c>
      <c r="D115" s="29"/>
      <c r="E115" s="29"/>
      <c r="F115" s="26"/>
      <c r="G115" s="26"/>
      <c r="H115" s="10"/>
      <c r="I115" s="12"/>
      <c r="J115" s="16" t="s">
        <v>9</v>
      </c>
      <c r="K115" s="21" t="str">
        <f t="shared" si="9"/>
        <v>Boleto-</v>
      </c>
      <c r="L115" s="13"/>
      <c r="M115" s="21" t="e">
        <f t="shared" si="11"/>
        <v>#VALUE!</v>
      </c>
      <c r="N115" s="21" t="e">
        <f t="shared" si="7"/>
        <v>#VALUE!</v>
      </c>
    </row>
    <row r="116" spans="1:14" ht="16.5">
      <c r="A116" s="1" t="str">
        <f>PROCV!C121</f>
        <v>Nome não Cadastrado</v>
      </c>
      <c r="B116" s="23"/>
      <c r="C116" s="19" t="str">
        <f>PROCV!A121</f>
        <v>Nome não Cadastrado</v>
      </c>
      <c r="D116" s="29"/>
      <c r="E116" s="29"/>
      <c r="F116" s="26"/>
      <c r="G116" s="26"/>
      <c r="H116" s="10"/>
      <c r="I116" s="12"/>
      <c r="J116" s="16" t="s">
        <v>9</v>
      </c>
      <c r="K116" s="21" t="str">
        <f t="shared" si="9"/>
        <v>Boleto-</v>
      </c>
      <c r="L116" s="13"/>
      <c r="M116" s="21" t="e">
        <f t="shared" si="11"/>
        <v>#VALUE!</v>
      </c>
      <c r="N116" s="21" t="e">
        <f t="shared" si="7"/>
        <v>#VALUE!</v>
      </c>
    </row>
    <row r="117" spans="1:14" ht="16.5">
      <c r="A117" s="1" t="str">
        <f>PROCV!C122</f>
        <v>Nome não Cadastrado</v>
      </c>
      <c r="B117" s="23"/>
      <c r="C117" s="19" t="str">
        <f>PROCV!A122</f>
        <v>Nome não Cadastrado</v>
      </c>
      <c r="D117" s="29"/>
      <c r="E117" s="29"/>
      <c r="F117" s="26"/>
      <c r="G117" s="26"/>
      <c r="H117" s="10"/>
      <c r="I117" s="12"/>
      <c r="J117" s="16" t="s">
        <v>9</v>
      </c>
      <c r="K117" s="21" t="str">
        <f t="shared" si="9"/>
        <v>Boleto-</v>
      </c>
      <c r="L117" s="13"/>
      <c r="M117" s="21" t="e">
        <f t="shared" si="11"/>
        <v>#VALUE!</v>
      </c>
      <c r="N117" s="21" t="e">
        <f t="shared" si="7"/>
        <v>#VALUE!</v>
      </c>
    </row>
    <row r="118" spans="1:14" ht="16.5">
      <c r="A118" s="1" t="str">
        <f>PROCV!C123</f>
        <v>Nome não Cadastrado</v>
      </c>
      <c r="B118" s="23"/>
      <c r="C118" s="19" t="str">
        <f>PROCV!A123</f>
        <v>Nome não Cadastrado</v>
      </c>
      <c r="D118" s="29"/>
      <c r="E118" s="29"/>
      <c r="F118" s="26"/>
      <c r="G118" s="26"/>
      <c r="H118" s="10"/>
      <c r="I118" s="12"/>
      <c r="J118" s="16" t="s">
        <v>9</v>
      </c>
      <c r="K118" s="21" t="str">
        <f t="shared" si="9"/>
        <v>Boleto-</v>
      </c>
      <c r="L118" s="13"/>
      <c r="M118" s="21" t="e">
        <f t="shared" si="11"/>
        <v>#VALUE!</v>
      </c>
      <c r="N118" s="21" t="e">
        <f t="shared" si="7"/>
        <v>#VALUE!</v>
      </c>
    </row>
    <row r="119" spans="1:14" ht="16.5">
      <c r="A119" s="1" t="str">
        <f>PROCV!C124</f>
        <v>Nome não Cadastrado</v>
      </c>
      <c r="B119" s="23"/>
      <c r="C119" s="19" t="str">
        <f>PROCV!A124</f>
        <v>Nome não Cadastrado</v>
      </c>
      <c r="D119" s="29"/>
      <c r="E119" s="29"/>
      <c r="F119" s="26"/>
      <c r="G119" s="26"/>
      <c r="H119" s="10"/>
      <c r="I119" s="12"/>
      <c r="J119" s="16" t="s">
        <v>9</v>
      </c>
      <c r="K119" s="21" t="str">
        <f t="shared" si="9"/>
        <v>Boleto-</v>
      </c>
      <c r="L119" s="13"/>
      <c r="M119" s="21" t="e">
        <f t="shared" si="11"/>
        <v>#VALUE!</v>
      </c>
      <c r="N119" s="21" t="e">
        <f t="shared" si="7"/>
        <v>#VALUE!</v>
      </c>
    </row>
    <row r="120" spans="1:14" ht="16.5">
      <c r="A120" s="1" t="str">
        <f>PROCV!C125</f>
        <v>Nome não Cadastrado</v>
      </c>
      <c r="B120" s="23"/>
      <c r="C120" s="19" t="str">
        <f>PROCV!A125</f>
        <v>Nome não Cadastrado</v>
      </c>
      <c r="D120" s="29"/>
      <c r="E120" s="29"/>
      <c r="F120" s="26"/>
      <c r="G120" s="26"/>
      <c r="H120" s="10"/>
      <c r="I120" s="12"/>
      <c r="J120" s="16" t="s">
        <v>9</v>
      </c>
      <c r="K120" s="21" t="str">
        <f t="shared" si="9"/>
        <v>Boleto-</v>
      </c>
      <c r="L120" s="13"/>
      <c r="M120" s="21" t="e">
        <f t="shared" si="11"/>
        <v>#VALUE!</v>
      </c>
      <c r="N120" s="21" t="e">
        <f t="shared" si="7"/>
        <v>#VALUE!</v>
      </c>
    </row>
    <row r="121" spans="1:14" ht="16.5">
      <c r="A121" s="1" t="str">
        <f>PROCV!C126</f>
        <v>Nome não Cadastrado</v>
      </c>
      <c r="B121" s="23"/>
      <c r="C121" s="19" t="str">
        <f>PROCV!A126</f>
        <v>Nome não Cadastrado</v>
      </c>
      <c r="D121" s="29"/>
      <c r="E121" s="29"/>
      <c r="F121" s="26"/>
      <c r="G121" s="26"/>
      <c r="H121" s="10"/>
      <c r="I121" s="12"/>
      <c r="J121" s="16" t="s">
        <v>9</v>
      </c>
      <c r="K121" s="21" t="str">
        <f t="shared" si="9"/>
        <v>Boleto-</v>
      </c>
      <c r="L121" s="13"/>
      <c r="M121" s="21" t="e">
        <f t="shared" si="11"/>
        <v>#VALUE!</v>
      </c>
      <c r="N121" s="21" t="e">
        <f t="shared" si="7"/>
        <v>#VALUE!</v>
      </c>
    </row>
    <row r="122" spans="1:14" ht="16.5">
      <c r="A122" s="1" t="str">
        <f>PROCV!C127</f>
        <v>Nome não Cadastrado</v>
      </c>
      <c r="B122" s="23"/>
      <c r="C122" s="19" t="str">
        <f>PROCV!A127</f>
        <v>Nome não Cadastrado</v>
      </c>
      <c r="D122" s="29"/>
      <c r="E122" s="29"/>
      <c r="F122" s="26"/>
      <c r="G122" s="26"/>
      <c r="H122" s="10"/>
      <c r="I122" s="12"/>
      <c r="J122" s="16" t="s">
        <v>9</v>
      </c>
      <c r="K122" s="21" t="str">
        <f t="shared" si="9"/>
        <v>Boleto-</v>
      </c>
      <c r="L122" s="13"/>
      <c r="M122" s="21" t="e">
        <f t="shared" si="11"/>
        <v>#VALUE!</v>
      </c>
      <c r="N122" s="21" t="e">
        <f t="shared" ref="N122" si="12">LEFT(M122,LEN(M122)-1)</f>
        <v>#VALUE!</v>
      </c>
    </row>
    <row r="123" spans="1:14" ht="16.5">
      <c r="A123" s="1" t="str">
        <f>PROCV!C128</f>
        <v>Nome não Cadastrado</v>
      </c>
      <c r="B123" s="23"/>
      <c r="C123" s="19" t="str">
        <f>PROCV!A128</f>
        <v>Nome não Cadastrado</v>
      </c>
      <c r="D123" s="29"/>
      <c r="E123" s="29"/>
      <c r="F123" s="26"/>
      <c r="G123" s="26"/>
      <c r="H123" s="10"/>
      <c r="I123" s="12"/>
      <c r="J123" s="16" t="s">
        <v>9</v>
      </c>
      <c r="K123" s="21" t="str">
        <f t="shared" ref="K123:K133" si="13">_xlfn.CONCAT(J123,F123)</f>
        <v>Boleto-</v>
      </c>
      <c r="L123" s="13"/>
      <c r="M123" s="21" t="e">
        <f t="shared" ref="M123:M133" si="14">RIGHT(L123,LEN(L123)-1)</f>
        <v>#VALUE!</v>
      </c>
      <c r="N123" s="21" t="e">
        <f t="shared" ref="N123:N133" si="15">LEFT(M123,LEN(M123)-1)</f>
        <v>#VALUE!</v>
      </c>
    </row>
    <row r="124" spans="1:14" ht="16.5">
      <c r="A124" s="1" t="str">
        <f>PROCV!C129</f>
        <v>Nome não Cadastrado</v>
      </c>
      <c r="B124" s="23"/>
      <c r="C124" s="19" t="str">
        <f>PROCV!A129</f>
        <v>Nome não Cadastrado</v>
      </c>
      <c r="D124" s="29"/>
      <c r="E124" s="29"/>
      <c r="F124" s="26"/>
      <c r="G124" s="26"/>
      <c r="H124" s="10"/>
      <c r="I124" s="12"/>
      <c r="J124" s="16" t="s">
        <v>9</v>
      </c>
      <c r="K124" s="21" t="str">
        <f t="shared" si="13"/>
        <v>Boleto-</v>
      </c>
      <c r="L124" s="13"/>
      <c r="M124" s="21" t="e">
        <f t="shared" si="14"/>
        <v>#VALUE!</v>
      </c>
      <c r="N124" s="21" t="e">
        <f t="shared" si="15"/>
        <v>#VALUE!</v>
      </c>
    </row>
    <row r="125" spans="1:14" ht="16.5">
      <c r="A125" s="1" t="str">
        <f>PROCV!C130</f>
        <v>Nome não Cadastrado</v>
      </c>
      <c r="B125" s="23"/>
      <c r="C125" s="19" t="str">
        <f>PROCV!A130</f>
        <v>Nome não Cadastrado</v>
      </c>
      <c r="D125" s="29"/>
      <c r="E125" s="29"/>
      <c r="F125" s="26"/>
      <c r="G125" s="26"/>
      <c r="H125" s="10"/>
      <c r="I125" s="12"/>
      <c r="J125" s="16" t="s">
        <v>9</v>
      </c>
      <c r="K125" s="21" t="str">
        <f t="shared" si="13"/>
        <v>Boleto-</v>
      </c>
      <c r="L125" s="13"/>
      <c r="M125" s="21" t="e">
        <f t="shared" si="14"/>
        <v>#VALUE!</v>
      </c>
      <c r="N125" s="21" t="e">
        <f t="shared" si="15"/>
        <v>#VALUE!</v>
      </c>
    </row>
    <row r="126" spans="1:14" ht="16.5">
      <c r="A126" s="1" t="str">
        <f>PROCV!C131</f>
        <v>Nome não Cadastrado</v>
      </c>
      <c r="B126" s="23"/>
      <c r="C126" s="19" t="str">
        <f>PROCV!A131</f>
        <v>Nome não Cadastrado</v>
      </c>
      <c r="D126" s="29"/>
      <c r="E126" s="29"/>
      <c r="F126" s="26"/>
      <c r="G126" s="26"/>
      <c r="H126" s="10"/>
      <c r="I126" s="12"/>
      <c r="J126" s="16" t="s">
        <v>9</v>
      </c>
      <c r="K126" s="21" t="str">
        <f t="shared" si="13"/>
        <v>Boleto-</v>
      </c>
      <c r="L126" s="13"/>
      <c r="M126" s="21" t="e">
        <f t="shared" si="14"/>
        <v>#VALUE!</v>
      </c>
      <c r="N126" s="21" t="e">
        <f t="shared" si="15"/>
        <v>#VALUE!</v>
      </c>
    </row>
    <row r="127" spans="1:14" ht="16.5">
      <c r="A127" s="1" t="str">
        <f>PROCV!C132</f>
        <v>Nome não Cadastrado</v>
      </c>
      <c r="B127" s="23"/>
      <c r="C127" s="19" t="str">
        <f>PROCV!A132</f>
        <v>Nome não Cadastrado</v>
      </c>
      <c r="D127" s="29"/>
      <c r="E127" s="29"/>
      <c r="F127" s="26"/>
      <c r="G127" s="26"/>
      <c r="H127" s="10"/>
      <c r="I127" s="12"/>
      <c r="J127" s="16" t="s">
        <v>9</v>
      </c>
      <c r="K127" s="21" t="str">
        <f t="shared" si="13"/>
        <v>Boleto-</v>
      </c>
      <c r="L127" s="13"/>
      <c r="M127" s="21" t="e">
        <f t="shared" si="14"/>
        <v>#VALUE!</v>
      </c>
      <c r="N127" s="21" t="e">
        <f t="shared" si="15"/>
        <v>#VALUE!</v>
      </c>
    </row>
    <row r="128" spans="1:14" ht="16.5">
      <c r="A128" s="1" t="str">
        <f>PROCV!C133</f>
        <v>Nome não Cadastrado</v>
      </c>
      <c r="B128" s="23"/>
      <c r="C128" s="19" t="str">
        <f>PROCV!A133</f>
        <v>Nome não Cadastrado</v>
      </c>
      <c r="D128" s="29"/>
      <c r="E128" s="29"/>
      <c r="F128" s="26"/>
      <c r="G128" s="26"/>
      <c r="H128" s="10"/>
      <c r="I128" s="12"/>
      <c r="J128" s="16" t="s">
        <v>9</v>
      </c>
      <c r="K128" s="21" t="str">
        <f t="shared" si="13"/>
        <v>Boleto-</v>
      </c>
      <c r="L128" s="13"/>
      <c r="M128" s="21" t="e">
        <f t="shared" si="14"/>
        <v>#VALUE!</v>
      </c>
      <c r="N128" s="21" t="e">
        <f t="shared" si="15"/>
        <v>#VALUE!</v>
      </c>
    </row>
    <row r="129" spans="1:14" ht="16.5">
      <c r="A129" s="1" t="str">
        <f>PROCV!C134</f>
        <v>Nome não Cadastrado</v>
      </c>
      <c r="B129" s="23"/>
      <c r="C129" s="19" t="str">
        <f>PROCV!A134</f>
        <v>Nome não Cadastrado</v>
      </c>
      <c r="D129" s="29"/>
      <c r="E129" s="29"/>
      <c r="F129" s="26"/>
      <c r="G129" s="26"/>
      <c r="H129" s="10"/>
      <c r="I129" s="12"/>
      <c r="J129" s="16" t="s">
        <v>9</v>
      </c>
      <c r="K129" s="21" t="str">
        <f t="shared" si="13"/>
        <v>Boleto-</v>
      </c>
      <c r="L129" s="13"/>
      <c r="M129" s="21" t="e">
        <f t="shared" si="14"/>
        <v>#VALUE!</v>
      </c>
      <c r="N129" s="21" t="e">
        <f t="shared" si="15"/>
        <v>#VALUE!</v>
      </c>
    </row>
    <row r="130" spans="1:14" ht="16.5">
      <c r="A130" s="1" t="str">
        <f>PROCV!C135</f>
        <v>Nome não Cadastrado</v>
      </c>
      <c r="B130" s="23"/>
      <c r="C130" s="19" t="str">
        <f>PROCV!A135</f>
        <v>Nome não Cadastrado</v>
      </c>
      <c r="D130" s="29"/>
      <c r="E130" s="29"/>
      <c r="F130" s="26"/>
      <c r="G130" s="26"/>
      <c r="H130" s="10"/>
      <c r="I130" s="12"/>
      <c r="J130" s="16" t="s">
        <v>9</v>
      </c>
      <c r="K130" s="21" t="str">
        <f t="shared" si="13"/>
        <v>Boleto-</v>
      </c>
      <c r="L130" s="13"/>
      <c r="M130" s="21" t="e">
        <f t="shared" si="14"/>
        <v>#VALUE!</v>
      </c>
      <c r="N130" s="21" t="e">
        <f t="shared" si="15"/>
        <v>#VALUE!</v>
      </c>
    </row>
    <row r="131" spans="1:14" ht="16.5">
      <c r="A131" s="1" t="str">
        <f>PROCV!C136</f>
        <v>Nome não Cadastrado</v>
      </c>
      <c r="B131" s="23"/>
      <c r="C131" s="19" t="str">
        <f>PROCV!A136</f>
        <v>Nome não Cadastrado</v>
      </c>
      <c r="D131" s="29"/>
      <c r="E131" s="29"/>
      <c r="F131" s="26"/>
      <c r="G131" s="26"/>
      <c r="H131" s="10"/>
      <c r="I131" s="12"/>
      <c r="J131" s="16" t="s">
        <v>9</v>
      </c>
      <c r="K131" s="21" t="str">
        <f t="shared" si="13"/>
        <v>Boleto-</v>
      </c>
      <c r="L131" s="13"/>
      <c r="M131" s="21" t="e">
        <f t="shared" si="14"/>
        <v>#VALUE!</v>
      </c>
      <c r="N131" s="21" t="e">
        <f t="shared" si="15"/>
        <v>#VALUE!</v>
      </c>
    </row>
    <row r="132" spans="1:14" ht="16.5">
      <c r="A132" s="1" t="str">
        <f>PROCV!C137</f>
        <v>Nome não Cadastrado</v>
      </c>
      <c r="B132" s="23"/>
      <c r="C132" s="19" t="str">
        <f>PROCV!A137</f>
        <v>Nome não Cadastrado</v>
      </c>
      <c r="D132" s="29"/>
      <c r="E132" s="29"/>
      <c r="F132" s="26"/>
      <c r="G132" s="26"/>
      <c r="H132" s="10"/>
      <c r="I132" s="12"/>
      <c r="J132" s="16" t="s">
        <v>9</v>
      </c>
      <c r="K132" s="21" t="str">
        <f t="shared" si="13"/>
        <v>Boleto-</v>
      </c>
      <c r="L132" s="13"/>
      <c r="M132" s="21" t="e">
        <f t="shared" si="14"/>
        <v>#VALUE!</v>
      </c>
      <c r="N132" s="21" t="e">
        <f t="shared" si="15"/>
        <v>#VALUE!</v>
      </c>
    </row>
    <row r="133" spans="1:14" ht="16.5">
      <c r="A133" s="1" t="str">
        <f>PROCV!C138</f>
        <v>Nome não Cadastrado</v>
      </c>
      <c r="B133" s="23"/>
      <c r="C133" s="19" t="str">
        <f>PROCV!A138</f>
        <v>Nome não Cadastrado</v>
      </c>
      <c r="D133" s="29"/>
      <c r="E133" s="29"/>
      <c r="F133" s="26"/>
      <c r="G133" s="26"/>
      <c r="H133" s="10"/>
      <c r="I133" s="12"/>
      <c r="J133" s="16" t="s">
        <v>9</v>
      </c>
      <c r="K133" s="21" t="str">
        <f t="shared" si="13"/>
        <v>Boleto-</v>
      </c>
      <c r="L133" s="13"/>
      <c r="M133" s="21" t="e">
        <f t="shared" si="14"/>
        <v>#VALUE!</v>
      </c>
      <c r="N133" s="21" t="e">
        <f t="shared" si="15"/>
        <v>#VALUE!</v>
      </c>
    </row>
    <row r="134" spans="1:14" ht="16.5">
      <c r="A134" s="1" t="str">
        <f>PROCV!C139</f>
        <v>Nome não Cadastrado</v>
      </c>
      <c r="B134" s="23"/>
      <c r="C134" s="19" t="str">
        <f>PROCV!A139</f>
        <v>Nome não Cadastrado</v>
      </c>
      <c r="D134" s="29"/>
      <c r="E134" s="29"/>
      <c r="F134" s="26"/>
      <c r="G134" s="26"/>
      <c r="H134" s="10"/>
      <c r="I134" s="12"/>
      <c r="J134" s="16" t="s">
        <v>9</v>
      </c>
      <c r="K134" s="21"/>
      <c r="L134" s="13"/>
      <c r="N134" s="21"/>
    </row>
    <row r="135" spans="1:14" ht="16.5">
      <c r="A135" s="1" t="str">
        <f>PROCV!C140</f>
        <v>Nome não Cadastrado</v>
      </c>
      <c r="B135" s="23"/>
      <c r="C135" s="19" t="str">
        <f>PROCV!A140</f>
        <v>Nome não Cadastrado</v>
      </c>
      <c r="D135" s="29"/>
      <c r="E135" s="29"/>
      <c r="F135" s="26"/>
      <c r="G135" s="26"/>
      <c r="H135" s="10"/>
      <c r="I135" s="12"/>
      <c r="J135" s="16" t="s">
        <v>9</v>
      </c>
      <c r="K135" s="21"/>
      <c r="L135" s="13"/>
      <c r="N135" s="21"/>
    </row>
    <row r="136" spans="1:14" ht="16.5">
      <c r="A136" s="1" t="str">
        <f>PROCV!C141</f>
        <v>Nome não Cadastrado</v>
      </c>
      <c r="B136" s="23"/>
      <c r="C136" s="19" t="str">
        <f>PROCV!A141</f>
        <v>Nome não Cadastrado</v>
      </c>
      <c r="D136" s="29"/>
      <c r="E136" s="29"/>
      <c r="F136" s="26"/>
      <c r="G136" s="26"/>
      <c r="H136" s="10"/>
      <c r="I136" s="12"/>
      <c r="J136" s="16" t="s">
        <v>9</v>
      </c>
      <c r="K136" s="21"/>
      <c r="L136" s="13"/>
      <c r="N136" s="21"/>
    </row>
    <row r="137" spans="1:14" ht="16.5">
      <c r="A137" s="1" t="str">
        <f>PROCV!C142</f>
        <v>Nome não Cadastrado</v>
      </c>
      <c r="B137" s="23"/>
      <c r="C137" s="19" t="str">
        <f>PROCV!A142</f>
        <v>Nome não Cadastrado</v>
      </c>
      <c r="D137" s="29"/>
      <c r="E137" s="29"/>
      <c r="F137" s="26"/>
      <c r="G137" s="26"/>
      <c r="H137" s="10"/>
      <c r="I137" s="12"/>
      <c r="J137" s="16" t="s">
        <v>9</v>
      </c>
      <c r="K137" s="21"/>
      <c r="L137" s="13"/>
      <c r="N137" s="21"/>
    </row>
    <row r="138" spans="1:14" ht="16.5">
      <c r="A138" s="1" t="str">
        <f>PROCV!C143</f>
        <v>Nome não Cadastrado</v>
      </c>
      <c r="B138" s="23"/>
      <c r="C138" s="19" t="str">
        <f>PROCV!A143</f>
        <v>Nome não Cadastrado</v>
      </c>
      <c r="D138" s="29"/>
      <c r="E138" s="29"/>
      <c r="F138" s="26"/>
      <c r="G138" s="26"/>
      <c r="H138" s="10"/>
      <c r="I138" s="12"/>
      <c r="J138" s="16" t="s">
        <v>9</v>
      </c>
      <c r="K138" s="21"/>
      <c r="L138" s="13"/>
      <c r="N138" s="21"/>
    </row>
    <row r="139" spans="1:14" ht="16.5">
      <c r="A139" s="1" t="str">
        <f>PROCV!C144</f>
        <v>Nome não Cadastrado</v>
      </c>
      <c r="B139" s="23"/>
      <c r="C139" s="19" t="str">
        <f>PROCV!A144</f>
        <v>Nome não Cadastrado</v>
      </c>
      <c r="D139" s="29"/>
      <c r="E139" s="29"/>
      <c r="F139" s="26"/>
      <c r="G139" s="26"/>
      <c r="H139" s="10"/>
      <c r="I139" s="12"/>
      <c r="J139" s="16" t="s">
        <v>9</v>
      </c>
      <c r="K139" s="21"/>
      <c r="L139" s="13"/>
      <c r="N139" s="21"/>
    </row>
    <row r="140" spans="1:14" ht="16.5">
      <c r="A140" s="1" t="str">
        <f>PROCV!C145</f>
        <v>Nome não Cadastrado</v>
      </c>
      <c r="B140" s="23"/>
      <c r="C140" s="19" t="str">
        <f>PROCV!A145</f>
        <v>Nome não Cadastrado</v>
      </c>
      <c r="D140" s="29"/>
      <c r="E140" s="29"/>
      <c r="F140" s="26"/>
      <c r="G140" s="26"/>
      <c r="H140" s="10"/>
      <c r="I140" s="12"/>
      <c r="J140" s="16" t="s">
        <v>9</v>
      </c>
      <c r="K140" s="21"/>
      <c r="L140" s="13"/>
      <c r="N140" s="21"/>
    </row>
    <row r="141" spans="1:14" ht="16.5">
      <c r="A141" s="1" t="str">
        <f>PROCV!C146</f>
        <v>Nome não Cadastrado</v>
      </c>
      <c r="B141" s="23"/>
      <c r="C141" s="19" t="str">
        <f>PROCV!A146</f>
        <v>Nome não Cadastrado</v>
      </c>
      <c r="D141" s="29"/>
      <c r="E141" s="29"/>
      <c r="F141" s="26"/>
      <c r="G141" s="26"/>
      <c r="H141" s="10"/>
      <c r="I141" s="12"/>
      <c r="J141" s="16" t="s">
        <v>9</v>
      </c>
      <c r="K141" s="21"/>
      <c r="L141" s="13"/>
      <c r="N141" s="21"/>
    </row>
    <row r="142" spans="1:14" ht="16.5">
      <c r="A142" s="1" t="str">
        <f>PROCV!C147</f>
        <v>Nome não Cadastrado</v>
      </c>
      <c r="B142" s="23"/>
      <c r="C142" s="19" t="str">
        <f>PROCV!A147</f>
        <v>Nome não Cadastrado</v>
      </c>
      <c r="D142" s="29"/>
      <c r="E142" s="29"/>
      <c r="F142" s="26"/>
      <c r="G142" s="26"/>
      <c r="H142" s="10"/>
      <c r="I142" s="12"/>
      <c r="J142" s="16" t="s">
        <v>9</v>
      </c>
      <c r="K142" s="21"/>
      <c r="L142" s="13"/>
      <c r="N142" s="21"/>
    </row>
    <row r="143" spans="1:14" ht="16.5">
      <c r="A143" s="1" t="str">
        <f>PROCV!C148</f>
        <v>Nome não Cadastrado</v>
      </c>
      <c r="B143" s="23"/>
      <c r="C143" s="19" t="str">
        <f>PROCV!A148</f>
        <v>Nome não Cadastrado</v>
      </c>
      <c r="D143" s="29"/>
      <c r="E143" s="29"/>
      <c r="F143" s="26"/>
      <c r="G143" s="26"/>
      <c r="H143" s="10"/>
      <c r="I143" s="12"/>
      <c r="J143" s="16" t="s">
        <v>9</v>
      </c>
      <c r="K143" s="21"/>
      <c r="L143" s="13"/>
      <c r="N143" s="21"/>
    </row>
    <row r="144" spans="1:14" ht="16.5">
      <c r="A144" s="1" t="str">
        <f>PROCV!C149</f>
        <v>Nome não Cadastrado</v>
      </c>
      <c r="B144" s="23"/>
      <c r="C144" s="19" t="str">
        <f>PROCV!A149</f>
        <v>Nome não Cadastrado</v>
      </c>
      <c r="D144" s="29"/>
      <c r="E144" s="29"/>
      <c r="F144" s="26"/>
      <c r="G144" s="26"/>
      <c r="H144" s="10"/>
      <c r="I144" s="12"/>
      <c r="J144" s="16" t="s">
        <v>9</v>
      </c>
      <c r="K144" s="21"/>
      <c r="L144" s="13"/>
      <c r="N144" s="21"/>
    </row>
    <row r="145" spans="1:14" ht="16.5">
      <c r="A145" s="1" t="str">
        <f>PROCV!C150</f>
        <v>Nome não Cadastrado</v>
      </c>
      <c r="B145" s="23"/>
      <c r="C145" s="19" t="str">
        <f>PROCV!A150</f>
        <v>Nome não Cadastrado</v>
      </c>
      <c r="D145" s="29"/>
      <c r="E145" s="29"/>
      <c r="F145" s="26"/>
      <c r="G145" s="26"/>
      <c r="H145" s="10"/>
      <c r="I145" s="12"/>
      <c r="J145" s="16" t="s">
        <v>9</v>
      </c>
      <c r="K145" s="21"/>
      <c r="L145" s="13"/>
      <c r="N145" s="21"/>
    </row>
    <row r="146" spans="1:14" ht="16.5">
      <c r="A146" s="1" t="str">
        <f>PROCV!C151</f>
        <v>Nome não Cadastrado</v>
      </c>
      <c r="B146" s="23"/>
      <c r="C146" s="19" t="str">
        <f>PROCV!A151</f>
        <v>Nome não Cadastrado</v>
      </c>
      <c r="D146" s="29"/>
      <c r="E146" s="29"/>
      <c r="F146" s="26"/>
      <c r="G146" s="26"/>
      <c r="H146" s="10"/>
      <c r="I146" s="12"/>
      <c r="J146" s="16" t="s">
        <v>9</v>
      </c>
      <c r="K146" s="21"/>
      <c r="L146" s="13"/>
      <c r="N146" s="21"/>
    </row>
    <row r="147" spans="1:14" ht="16.5">
      <c r="A147" s="1" t="str">
        <f>PROCV!C152</f>
        <v>Nome não Cadastrado</v>
      </c>
      <c r="B147" s="23"/>
      <c r="C147" s="19" t="str">
        <f>PROCV!A152</f>
        <v>Nome não Cadastrado</v>
      </c>
      <c r="D147" s="29"/>
      <c r="E147" s="29"/>
      <c r="F147" s="26"/>
      <c r="G147" s="26"/>
      <c r="H147" s="10"/>
      <c r="I147" s="12"/>
      <c r="J147" s="16" t="s">
        <v>9</v>
      </c>
      <c r="K147" s="21"/>
      <c r="L147" s="13"/>
      <c r="N147" s="21"/>
    </row>
    <row r="148" spans="1:14" ht="16.5">
      <c r="A148" s="1" t="str">
        <f>PROCV!C153</f>
        <v>Nome não Cadastrado</v>
      </c>
      <c r="B148" s="23"/>
      <c r="C148" s="19" t="str">
        <f>PROCV!A153</f>
        <v>Nome não Cadastrado</v>
      </c>
      <c r="D148" s="29"/>
      <c r="E148" s="29"/>
      <c r="F148" s="26"/>
      <c r="G148" s="26"/>
      <c r="H148" s="10"/>
      <c r="I148" s="12"/>
      <c r="J148" s="16" t="s">
        <v>9</v>
      </c>
      <c r="K148" s="21"/>
      <c r="L148" s="13"/>
      <c r="N148" s="21"/>
    </row>
    <row r="149" spans="1:14" ht="16.5">
      <c r="A149" s="1" t="str">
        <f>PROCV!C154</f>
        <v>Nome não Cadastrado</v>
      </c>
      <c r="B149" s="23"/>
      <c r="C149" s="19" t="str">
        <f>PROCV!A154</f>
        <v>Nome não Cadastrado</v>
      </c>
      <c r="D149" s="29"/>
      <c r="E149" s="29"/>
      <c r="F149" s="26"/>
      <c r="G149" s="26"/>
      <c r="H149" s="10"/>
      <c r="I149" s="12"/>
      <c r="J149" s="16" t="s">
        <v>9</v>
      </c>
      <c r="K149" s="21"/>
      <c r="L149" s="13"/>
      <c r="N149" s="21"/>
    </row>
    <row r="150" spans="1:14" ht="16.5">
      <c r="A150" s="1" t="str">
        <f>PROCV!C155</f>
        <v>Nome não Cadastrado</v>
      </c>
      <c r="B150" s="23"/>
      <c r="C150" s="19" t="str">
        <f>PROCV!A155</f>
        <v>Nome não Cadastrado</v>
      </c>
      <c r="D150" s="29"/>
      <c r="E150" s="29"/>
      <c r="F150" s="26"/>
      <c r="G150" s="26"/>
      <c r="H150" s="10"/>
      <c r="I150" s="12"/>
      <c r="J150" s="16" t="s">
        <v>9</v>
      </c>
      <c r="K150" s="21"/>
      <c r="L150" s="13"/>
      <c r="N150" s="21"/>
    </row>
    <row r="151" spans="1:14" ht="16.5">
      <c r="A151" s="1" t="str">
        <f>PROCV!C156</f>
        <v>Nome não Cadastrado</v>
      </c>
      <c r="B151" s="23"/>
      <c r="C151" s="19" t="str">
        <f>PROCV!A156</f>
        <v>Nome não Cadastrado</v>
      </c>
      <c r="D151" s="29"/>
      <c r="E151" s="29"/>
      <c r="F151" s="26"/>
      <c r="G151" s="26"/>
      <c r="H151" s="10"/>
      <c r="I151" s="12"/>
      <c r="J151" s="16" t="s">
        <v>9</v>
      </c>
      <c r="K151" s="21"/>
      <c r="L151" s="13"/>
      <c r="N151" s="21"/>
    </row>
    <row r="152" spans="1:14" ht="16.5">
      <c r="A152" s="1" t="str">
        <f>PROCV!C157</f>
        <v>Nome não Cadastrado</v>
      </c>
      <c r="B152" s="23"/>
      <c r="C152" s="19" t="str">
        <f>PROCV!A157</f>
        <v>Nome não Cadastrado</v>
      </c>
      <c r="D152" s="29"/>
      <c r="E152" s="29"/>
      <c r="F152" s="26"/>
      <c r="G152" s="26"/>
      <c r="H152" s="10"/>
      <c r="I152" s="12"/>
      <c r="J152" s="16" t="s">
        <v>9</v>
      </c>
      <c r="K152" s="21"/>
      <c r="L152" s="13"/>
      <c r="N152" s="21"/>
    </row>
    <row r="153" spans="1:14" ht="16.5">
      <c r="A153" s="1" t="str">
        <f>PROCV!C158</f>
        <v>Nome não Cadastrado</v>
      </c>
      <c r="B153" s="23"/>
      <c r="C153" s="19" t="str">
        <f>PROCV!A158</f>
        <v>Nome não Cadastrado</v>
      </c>
      <c r="D153" s="29"/>
      <c r="E153" s="29"/>
      <c r="F153" s="26"/>
      <c r="G153" s="26"/>
      <c r="H153" s="10"/>
      <c r="I153" s="12"/>
      <c r="J153" s="16" t="s">
        <v>9</v>
      </c>
      <c r="K153" s="21"/>
      <c r="L153" s="13"/>
      <c r="N153" s="21"/>
    </row>
    <row r="154" spans="1:14" ht="16.5">
      <c r="A154" s="1" t="str">
        <f>PROCV!C159</f>
        <v>Nome não Cadastrado</v>
      </c>
      <c r="B154" s="23"/>
      <c r="C154" s="19" t="str">
        <f>PROCV!A159</f>
        <v>Nome não Cadastrado</v>
      </c>
      <c r="D154" s="29"/>
      <c r="E154" s="29"/>
      <c r="F154" s="26"/>
      <c r="G154" s="26"/>
      <c r="H154" s="10"/>
      <c r="I154" s="12"/>
      <c r="J154" s="16" t="s">
        <v>9</v>
      </c>
      <c r="K154" s="21"/>
      <c r="L154" s="13"/>
      <c r="N154" s="21"/>
    </row>
    <row r="155" spans="1:14" ht="16.5">
      <c r="A155" s="1" t="str">
        <f>PROCV!C160</f>
        <v>Nome não Cadastrado</v>
      </c>
      <c r="B155" s="23"/>
      <c r="C155" s="19" t="str">
        <f>PROCV!A160</f>
        <v>Nome não Cadastrado</v>
      </c>
      <c r="D155" s="29"/>
      <c r="E155" s="29"/>
      <c r="F155" s="26"/>
      <c r="G155" s="26"/>
      <c r="H155" s="10"/>
      <c r="I155" s="12"/>
      <c r="J155" s="16" t="s">
        <v>9</v>
      </c>
      <c r="K155" s="21"/>
      <c r="L155" s="13"/>
      <c r="N155" s="21"/>
    </row>
    <row r="156" spans="1:14" ht="16.5">
      <c r="A156" s="1" t="str">
        <f>PROCV!C161</f>
        <v>Nome não Cadastrado</v>
      </c>
      <c r="B156" s="23"/>
      <c r="C156" s="19" t="str">
        <f>PROCV!A161</f>
        <v>Nome não Cadastrado</v>
      </c>
      <c r="D156" s="29"/>
      <c r="E156" s="29"/>
      <c r="F156" s="26"/>
      <c r="G156" s="26"/>
      <c r="H156" s="10"/>
      <c r="I156" s="12"/>
      <c r="J156" s="16" t="s">
        <v>9</v>
      </c>
      <c r="K156" s="21"/>
      <c r="L156" s="13"/>
      <c r="N156" s="21"/>
    </row>
    <row r="157" spans="1:14" ht="16.5">
      <c r="A157" s="1" t="str">
        <f>PROCV!C162</f>
        <v>Nome não Cadastrado</v>
      </c>
      <c r="B157" s="23"/>
      <c r="C157" s="19" t="str">
        <f>PROCV!A162</f>
        <v>Nome não Cadastrado</v>
      </c>
      <c r="D157" s="29"/>
      <c r="E157" s="29"/>
      <c r="F157" s="26"/>
      <c r="G157" s="26"/>
      <c r="H157" s="10"/>
      <c r="I157" s="12"/>
      <c r="J157" s="16" t="s">
        <v>9</v>
      </c>
      <c r="K157" s="21"/>
      <c r="L157" s="13"/>
      <c r="N157" s="21"/>
    </row>
    <row r="158" spans="1:14" ht="16.5">
      <c r="A158" s="1" t="str">
        <f>PROCV!C163</f>
        <v>Nome não Cadastrado</v>
      </c>
      <c r="B158" s="23"/>
      <c r="C158" s="19" t="str">
        <f>PROCV!A163</f>
        <v>Nome não Cadastrado</v>
      </c>
      <c r="D158" s="29"/>
      <c r="E158" s="29"/>
      <c r="F158" s="26"/>
      <c r="G158" s="26"/>
      <c r="H158" s="10"/>
      <c r="I158" s="12"/>
      <c r="J158" s="16" t="s">
        <v>9</v>
      </c>
      <c r="K158" s="21"/>
      <c r="L158" s="13"/>
      <c r="N158" s="21"/>
    </row>
    <row r="159" spans="1:14" ht="16.5">
      <c r="A159" s="1" t="str">
        <f>PROCV!C164</f>
        <v>Nome não Cadastrado</v>
      </c>
      <c r="B159" s="23"/>
      <c r="C159" s="19" t="str">
        <f>PROCV!A164</f>
        <v>Nome não Cadastrado</v>
      </c>
      <c r="D159" s="29"/>
      <c r="E159" s="29"/>
      <c r="F159" s="26"/>
      <c r="G159" s="26"/>
      <c r="H159" s="10"/>
      <c r="I159" s="12"/>
      <c r="J159" s="16" t="s">
        <v>9</v>
      </c>
      <c r="K159" s="21"/>
      <c r="L159" s="13"/>
      <c r="N159" s="21"/>
    </row>
    <row r="160" spans="1:14" ht="16.5">
      <c r="A160" s="1" t="str">
        <f>PROCV!C165</f>
        <v>Nome não Cadastrado</v>
      </c>
      <c r="B160" s="23"/>
      <c r="C160" s="19" t="str">
        <f>PROCV!A165</f>
        <v>Nome não Cadastrado</v>
      </c>
      <c r="D160" s="29"/>
      <c r="E160" s="29"/>
      <c r="F160" s="26"/>
      <c r="G160" s="26"/>
      <c r="H160" s="10"/>
      <c r="I160" s="12"/>
      <c r="J160" s="16" t="s">
        <v>9</v>
      </c>
      <c r="K160" s="21"/>
      <c r="L160" s="13"/>
      <c r="N160" s="21"/>
    </row>
  </sheetData>
  <protectedRanges>
    <protectedRange algorithmName="SHA-512" hashValue="KFn5KK0+FX/Hn8Ud0OQ8a+tVv2BeoXR1wmybNCR3jxgfjFf93NBw8nWCOszoO1Q4Ci/lrL29hZJhlPXuDDqqfA==" saltValue="xn2OVdQ+M2kvcrxT/4o+wA==" spinCount="100000" sqref="A1:A1048576 C1:C1048576 K1:K1048576 M1:N1048576" name="CNPJ"/>
  </protectedRanges>
  <conditionalFormatting sqref="G3:I3 C32:C45 B3:E3 B4:C4 H4 H17:H31 B26:C31 B5:E14 B77:E77 G77:I77 C17:C25 B43:B46 B46:C160 H43:H84 G5:I16 C15:E16 B15:B25 A1:A1048576">
    <cfRule type="cellIs" dxfId="5" priority="14" operator="equal">
      <formula>"Nome não Cadastrado"</formula>
    </cfRule>
  </conditionalFormatting>
  <conditionalFormatting sqref="F77 F37:F68 F2:F31">
    <cfRule type="cellIs" dxfId="4" priority="13" operator="equal">
      <formula>0</formula>
    </cfRule>
  </conditionalFormatting>
  <conditionalFormatting sqref="B32:B36 B38:B42">
    <cfRule type="cellIs" dxfId="3" priority="4" operator="equal">
      <formula>"Nome não Cadastrado"</formula>
    </cfRule>
  </conditionalFormatting>
  <conditionalFormatting sqref="H32:H42">
    <cfRule type="cellIs" dxfId="2" priority="3" operator="equal">
      <formula>"Nome não Cadastrado"</formula>
    </cfRule>
  </conditionalFormatting>
  <conditionalFormatting sqref="F32:F35">
    <cfRule type="cellIs" dxfId="1" priority="2" operator="equal">
      <formula>0</formula>
    </cfRule>
  </conditionalFormatting>
  <conditionalFormatting sqref="B37">
    <cfRule type="cellIs" dxfId="0" priority="1" operator="equal">
      <formula>"Nome não Cadastrado"</formula>
    </cfRule>
  </conditionalFormatting>
  <hyperlinks>
    <hyperlink ref="A3" r:id="rId1" xr:uid="{5442B19F-31CF-4C5D-A521-E95B70D1A8C6}"/>
    <hyperlink ref="A4:A14" r:id="rId2" display="evandrosm@live.com" xr:uid="{41275D69-0885-4263-942D-18A9CA729648}"/>
  </hyperlinks>
  <pageMargins left="0.7" right="0.7" top="0.75" bottom="0.75" header="0.51180555555555496" footer="0.51180555555555496"/>
  <pageSetup paperSize="9" firstPageNumber="0" orientation="portrait" horizontalDpi="300" verticalDpi="300" r:id="rId3"/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8AA11E-94EE-4DAC-B667-9962DAE5C2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Lista Boleto</vt:lpstr>
      <vt:lpstr>PROCV</vt:lpstr>
      <vt:lpstr>Envio de CTes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Alon Pinheiro</dc:creator>
  <cp:keywords/>
  <dc:description/>
  <cp:lastModifiedBy>Evandro_FIN_RS-3022</cp:lastModifiedBy>
  <cp:revision>0</cp:revision>
  <dcterms:created xsi:type="dcterms:W3CDTF">2015-06-05T18:19:34Z</dcterms:created>
  <dcterms:modified xsi:type="dcterms:W3CDTF">2023-02-17T21:13:51Z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